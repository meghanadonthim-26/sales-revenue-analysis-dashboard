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drawings/drawing4.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Admin\Downloads\"/>
    </mc:Choice>
  </mc:AlternateContent>
  <xr:revisionPtr revIDLastSave="0" documentId="8_{0AB4F93E-28B9-4FA1-AE59-46E736DDD952}" xr6:coauthVersionLast="47" xr6:coauthVersionMax="47" xr10:uidLastSave="{00000000-0000-0000-0000-000000000000}"/>
  <bookViews>
    <workbookView xWindow="-108" yWindow="-108" windowWidth="23256" windowHeight="12456" activeTab="5" xr2:uid="{00000000-000D-0000-FFFF-FFFF00000000}"/>
  </bookViews>
  <sheets>
    <sheet name="Sheet2" sheetId="3" r:id="rId1"/>
    <sheet name="Sheet3" sheetId="4" r:id="rId2"/>
    <sheet name="Sheet4" sheetId="5" r:id="rId3"/>
    <sheet name="Sheet5" sheetId="6" r:id="rId4"/>
    <sheet name="Sales_Data" sheetId="1" r:id="rId5"/>
    <sheet name="Dashboard" sheetId="2" r:id="rId6"/>
  </sheets>
  <definedNames>
    <definedName name="_xlnm._FilterDatabase" localSheetId="4" hidden="1">Sales_Data!$A$1:$K$251</definedName>
    <definedName name="Slicer_Category">#N/A</definedName>
    <definedName name="Slicer_Product">#N/A</definedName>
    <definedName name="Slicer_Region">#N/A</definedName>
  </definedNames>
  <calcPr calcId="191029"/>
  <pivotCaches>
    <pivotCache cacheId="9"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 i="2" l="1"/>
  <c r="F3" i="2"/>
  <c r="D3" i="2"/>
  <c r="B3" i="2"/>
</calcChain>
</file>

<file path=xl/sharedStrings.xml><?xml version="1.0" encoding="utf-8"?>
<sst xmlns="http://schemas.openxmlformats.org/spreadsheetml/2006/main" count="1295" uniqueCount="401">
  <si>
    <t>Order_ID</t>
  </si>
  <si>
    <t>Order_Date</t>
  </si>
  <si>
    <t>Region</t>
  </si>
  <si>
    <t>Category</t>
  </si>
  <si>
    <t>Product</t>
  </si>
  <si>
    <t>Customer</t>
  </si>
  <si>
    <t>Quantity</t>
  </si>
  <si>
    <t>Unit_Price</t>
  </si>
  <si>
    <t>Discount</t>
  </si>
  <si>
    <t>Sales</t>
  </si>
  <si>
    <t>Revenue</t>
  </si>
  <si>
    <t>ORD0250</t>
  </si>
  <si>
    <t>North</t>
  </si>
  <si>
    <t>Home &amp; Kitchen</t>
  </si>
  <si>
    <t>Mixer Grinder</t>
  </si>
  <si>
    <t>Customer 064</t>
  </si>
  <si>
    <t>ORD0056</t>
  </si>
  <si>
    <t>East</t>
  </si>
  <si>
    <t>Office Supplies</t>
  </si>
  <si>
    <t>Printer</t>
  </si>
  <si>
    <t>Customer 034</t>
  </si>
  <si>
    <t>ORD0214</t>
  </si>
  <si>
    <t>Keyboard</t>
  </si>
  <si>
    <t>Customer 011</t>
  </si>
  <si>
    <t>ORD0076</t>
  </si>
  <si>
    <t>South</t>
  </si>
  <si>
    <t>Customer 058</t>
  </si>
  <si>
    <t>ORD0034</t>
  </si>
  <si>
    <t>Electronics</t>
  </si>
  <si>
    <t>Smartwatch</t>
  </si>
  <si>
    <t>Customer 099</t>
  </si>
  <si>
    <t>ORD0235</t>
  </si>
  <si>
    <t>Notebook Pack</t>
  </si>
  <si>
    <t>Customer 012</t>
  </si>
  <si>
    <t>ORD0212</t>
  </si>
  <si>
    <t>Fashion</t>
  </si>
  <si>
    <t>Jeans</t>
  </si>
  <si>
    <t>Customer 017</t>
  </si>
  <si>
    <t>ORD0086</t>
  </si>
  <si>
    <t>Customer 096</t>
  </si>
  <si>
    <t>ORD0125</t>
  </si>
  <si>
    <t>West</t>
  </si>
  <si>
    <t>Air Fryer</t>
  </si>
  <si>
    <t>Customer 002</t>
  </si>
  <si>
    <t>ORD0246</t>
  </si>
  <si>
    <t>Laptop</t>
  </si>
  <si>
    <t>Customer 089</t>
  </si>
  <si>
    <t>ORD0178</t>
  </si>
  <si>
    <t>Customer 057</t>
  </si>
  <si>
    <t>ORD0152</t>
  </si>
  <si>
    <t>Vacuum Cleaner</t>
  </si>
  <si>
    <t>Customer 001</t>
  </si>
  <si>
    <t>ORD0001</t>
  </si>
  <si>
    <t>Desk Lamp</t>
  </si>
  <si>
    <t>Customer 083</t>
  </si>
  <si>
    <t>ORD0039</t>
  </si>
  <si>
    <t>Backpack</t>
  </si>
  <si>
    <t>Customer 030</t>
  </si>
  <si>
    <t>ORD0240</t>
  </si>
  <si>
    <t>Customer 037</t>
  </si>
  <si>
    <t>ORD0114</t>
  </si>
  <si>
    <t>Customer 013</t>
  </si>
  <si>
    <t>ORD0176</t>
  </si>
  <si>
    <t>Customer 035</t>
  </si>
  <si>
    <t>ORD0181</t>
  </si>
  <si>
    <t>Customer 032</t>
  </si>
  <si>
    <t>ORD0217</t>
  </si>
  <si>
    <t>Sports Shoes</t>
  </si>
  <si>
    <t>Customer 081</t>
  </si>
  <si>
    <t>ORD0113</t>
  </si>
  <si>
    <t>Coffee Maker</t>
  </si>
  <si>
    <t>Customer 039</t>
  </si>
  <si>
    <t>ORD0247</t>
  </si>
  <si>
    <t>ORD0201</t>
  </si>
  <si>
    <t>T-Shirt</t>
  </si>
  <si>
    <t>Customer 048</t>
  </si>
  <si>
    <t>ORD0139</t>
  </si>
  <si>
    <t>Customer 072</t>
  </si>
  <si>
    <t>ORD0126</t>
  </si>
  <si>
    <t>ORD0047</t>
  </si>
  <si>
    <t>Customer 042</t>
  </si>
  <si>
    <t>ORD0207</t>
  </si>
  <si>
    <t>Office Chair</t>
  </si>
  <si>
    <t>Customer 082</t>
  </si>
  <si>
    <t>ORD0188</t>
  </si>
  <si>
    <t>Customer 029</t>
  </si>
  <si>
    <t>ORD0203</t>
  </si>
  <si>
    <t>Headphones</t>
  </si>
  <si>
    <t>Customer 077</t>
  </si>
  <si>
    <t>ORD0011</t>
  </si>
  <si>
    <t>Customer 015</t>
  </si>
  <si>
    <t>ORD0133</t>
  </si>
  <si>
    <t>ORD0020</t>
  </si>
  <si>
    <t>ORD0137</t>
  </si>
  <si>
    <t>Customer 076</t>
  </si>
  <si>
    <t>ORD0053</t>
  </si>
  <si>
    <t>Customer 055</t>
  </si>
  <si>
    <t>ORD0149</t>
  </si>
  <si>
    <t>ORD0241</t>
  </si>
  <si>
    <t>Customer 051</t>
  </si>
  <si>
    <t>ORD0142</t>
  </si>
  <si>
    <t>Tablet</t>
  </si>
  <si>
    <t>Customer 078</t>
  </si>
  <si>
    <t>ORD0193</t>
  </si>
  <si>
    <t>Customer 059</t>
  </si>
  <si>
    <t>ORD0008</t>
  </si>
  <si>
    <t>Customer 004</t>
  </si>
  <si>
    <t>ORD0154</t>
  </si>
  <si>
    <t>Customer 003</t>
  </si>
  <si>
    <t>ORD0144</t>
  </si>
  <si>
    <t>Electric Kettle</t>
  </si>
  <si>
    <t>Customer 040</t>
  </si>
  <si>
    <t>ORD0109</t>
  </si>
  <si>
    <t>Smartphone</t>
  </si>
  <si>
    <t>Customer 063</t>
  </si>
  <si>
    <t>ORD0081</t>
  </si>
  <si>
    <t>Customer 092</t>
  </si>
  <si>
    <t>ORD0219</t>
  </si>
  <si>
    <t>Customer 038</t>
  </si>
  <si>
    <t>ORD0238</t>
  </si>
  <si>
    <t>Customer 028</t>
  </si>
  <si>
    <t>ORD0052</t>
  </si>
  <si>
    <t>Customer 005</t>
  </si>
  <si>
    <t>ORD0033</t>
  </si>
  <si>
    <t>ORD0196</t>
  </si>
  <si>
    <t>ORD0014</t>
  </si>
  <si>
    <t>ORD0150</t>
  </si>
  <si>
    <t>Customer 049</t>
  </si>
  <si>
    <t>ORD0225</t>
  </si>
  <si>
    <t>ORD0064</t>
  </si>
  <si>
    <t>ORD0019</t>
  </si>
  <si>
    <t>Jacket</t>
  </si>
  <si>
    <t>Customer 045</t>
  </si>
  <si>
    <t>ORD0073</t>
  </si>
  <si>
    <t>ORD0118</t>
  </si>
  <si>
    <t>ORD0175</t>
  </si>
  <si>
    <t>ORD0067</t>
  </si>
  <si>
    <t>Customer 036</t>
  </si>
  <si>
    <t>ORD0228</t>
  </si>
  <si>
    <t>Customer 086</t>
  </si>
  <si>
    <t>ORD0116</t>
  </si>
  <si>
    <t>Customer 041</t>
  </si>
  <si>
    <t>ORD0095</t>
  </si>
  <si>
    <t>Customer 073</t>
  </si>
  <si>
    <t>ORD0058</t>
  </si>
  <si>
    <t>ORD0155</t>
  </si>
  <si>
    <t>ORD0168</t>
  </si>
  <si>
    <t>ORD0123</t>
  </si>
  <si>
    <t>ORD0066</t>
  </si>
  <si>
    <t>ORD0204</t>
  </si>
  <si>
    <t>ORD0249</t>
  </si>
  <si>
    <t>ORD0226</t>
  </si>
  <si>
    <t>ORD0158</t>
  </si>
  <si>
    <t>ORD0169</t>
  </si>
  <si>
    <t>Customer 053</t>
  </si>
  <si>
    <t>ORD0036</t>
  </si>
  <si>
    <t>Customer 093</t>
  </si>
  <si>
    <t>ORD0015</t>
  </si>
  <si>
    <t>ORD0143</t>
  </si>
  <si>
    <t>Customer 090</t>
  </si>
  <si>
    <t>ORD0177</t>
  </si>
  <si>
    <t>ORD0099</t>
  </si>
  <si>
    <t>ORD0140</t>
  </si>
  <si>
    <t>ORD0093</t>
  </si>
  <si>
    <t>ORD0231</t>
  </si>
  <si>
    <t>Customer 044</t>
  </si>
  <si>
    <t>ORD0166</t>
  </si>
  <si>
    <t>Customer 087</t>
  </si>
  <si>
    <t>ORD0098</t>
  </si>
  <si>
    <t>Customer 047</t>
  </si>
  <si>
    <t>ORD0160</t>
  </si>
  <si>
    <t>Customer 019</t>
  </si>
  <si>
    <t>ORD0110</t>
  </si>
  <si>
    <t>Customer 052</t>
  </si>
  <si>
    <t>ORD0172</t>
  </si>
  <si>
    <t>ORD0025</t>
  </si>
  <si>
    <t>Customer 056</t>
  </si>
  <si>
    <t>ORD0153</t>
  </si>
  <si>
    <t>Customer 094</t>
  </si>
  <si>
    <t>ORD0035</t>
  </si>
  <si>
    <t>ORD0055</t>
  </si>
  <si>
    <t>Customer 023</t>
  </si>
  <si>
    <t>ORD0122</t>
  </si>
  <si>
    <t>ORD0091</t>
  </si>
  <si>
    <t>Customer 033</t>
  </si>
  <si>
    <t>ORD0075</t>
  </si>
  <si>
    <t>ORD0106</t>
  </si>
  <si>
    <t>ORD0200</t>
  </si>
  <si>
    <t>ORD0131</t>
  </si>
  <si>
    <t>Customer 097</t>
  </si>
  <si>
    <t>ORD0164</t>
  </si>
  <si>
    <t>ORD0005</t>
  </si>
  <si>
    <t>ORD0130</t>
  </si>
  <si>
    <t>ORD0079</t>
  </si>
  <si>
    <t>Customer 070</t>
  </si>
  <si>
    <t>ORD0083</t>
  </si>
  <si>
    <t>ORD0038</t>
  </si>
  <si>
    <t>ORD0012</t>
  </si>
  <si>
    <t>ORD0102</t>
  </si>
  <si>
    <t>ORD0049</t>
  </si>
  <si>
    <t>ORD0018</t>
  </si>
  <si>
    <t>ORD0074</t>
  </si>
  <si>
    <t>ORD0221</t>
  </si>
  <si>
    <t>ORD0115</t>
  </si>
  <si>
    <t>Customer 100</t>
  </si>
  <si>
    <t>ORD0054</t>
  </si>
  <si>
    <t>ORD0030</t>
  </si>
  <si>
    <t>ORD0032</t>
  </si>
  <si>
    <t>ORD0069</t>
  </si>
  <si>
    <t>ORD0002</t>
  </si>
  <si>
    <t>Customer 022</t>
  </si>
  <si>
    <t>ORD0223</t>
  </si>
  <si>
    <t>ORD0230</t>
  </si>
  <si>
    <t>Customer 066</t>
  </si>
  <si>
    <t>ORD0046</t>
  </si>
  <si>
    <t>ORD0134</t>
  </si>
  <si>
    <t>ORD0042</t>
  </si>
  <si>
    <t>Customer 046</t>
  </si>
  <si>
    <t>ORD0184</t>
  </si>
  <si>
    <t>ORD0136</t>
  </si>
  <si>
    <t>ORD0148</t>
  </si>
  <si>
    <t>ORD0044</t>
  </si>
  <si>
    <t>Customer 067</t>
  </si>
  <si>
    <t>ORD0063</t>
  </si>
  <si>
    <t>ORD0087</t>
  </si>
  <si>
    <t>Customer 008</t>
  </si>
  <si>
    <t>ORD0248</t>
  </si>
  <si>
    <t>ORD0224</t>
  </si>
  <si>
    <t>Customer 060</t>
  </si>
  <si>
    <t>ORD0077</t>
  </si>
  <si>
    <t>Customer 009</t>
  </si>
  <si>
    <t>ORD0037</t>
  </si>
  <si>
    <t>ORD0187</t>
  </si>
  <si>
    <t>ORD0004</t>
  </si>
  <si>
    <t>ORD0205</t>
  </si>
  <si>
    <t>ORD0190</t>
  </si>
  <si>
    <t>ORD0024</t>
  </si>
  <si>
    <t>Customer 062</t>
  </si>
  <si>
    <t>ORD0051</t>
  </si>
  <si>
    <t>ORD0171</t>
  </si>
  <si>
    <t>Customer 026</t>
  </si>
  <si>
    <t>ORD0185</t>
  </si>
  <si>
    <t>ORD0105</t>
  </si>
  <si>
    <t>ORD0243</t>
  </si>
  <si>
    <t>ORD0071</t>
  </si>
  <si>
    <t>ORD0209</t>
  </si>
  <si>
    <t>Customer 088</t>
  </si>
  <si>
    <t>ORD0021</t>
  </si>
  <si>
    <t>ORD0170</t>
  </si>
  <si>
    <t>ORD0068</t>
  </si>
  <si>
    <t>ORD0057</t>
  </si>
  <si>
    <t>Customer 069</t>
  </si>
  <si>
    <t>ORD0191</t>
  </si>
  <si>
    <t>Customer 079</t>
  </si>
  <si>
    <t>ORD0121</t>
  </si>
  <si>
    <t>Customer 075</t>
  </si>
  <si>
    <t>ORD0135</t>
  </si>
  <si>
    <t>ORD0090</t>
  </si>
  <si>
    <t>Customer 025</t>
  </si>
  <si>
    <t>ORD0161</t>
  </si>
  <si>
    <t>ORD0180</t>
  </si>
  <si>
    <t>ORD0009</t>
  </si>
  <si>
    <t>ORD0080</t>
  </si>
  <si>
    <t>ORD0059</t>
  </si>
  <si>
    <t>ORD0239</t>
  </si>
  <si>
    <t>Customer 007</t>
  </si>
  <si>
    <t>ORD0186</t>
  </si>
  <si>
    <t>Customer 016</t>
  </si>
  <si>
    <t>ORD0151</t>
  </si>
  <si>
    <t>ORD0084</t>
  </si>
  <si>
    <t>ORD0108</t>
  </si>
  <si>
    <t>Customer 027</t>
  </si>
  <si>
    <t>ORD0027</t>
  </si>
  <si>
    <t>ORD0120</t>
  </si>
  <si>
    <t>ORD0089</t>
  </si>
  <si>
    <t>ORD0183</t>
  </si>
  <si>
    <t>ORD0159</t>
  </si>
  <si>
    <t>ORD0208</t>
  </si>
  <si>
    <t>ORD0199</t>
  </si>
  <si>
    <t>ORD0040</t>
  </si>
  <si>
    <t>ORD0215</t>
  </si>
  <si>
    <t>ORD0197</t>
  </si>
  <si>
    <t>ORD0174</t>
  </si>
  <si>
    <t>ORD0242</t>
  </si>
  <si>
    <t>ORD0088</t>
  </si>
  <si>
    <t>ORD0210</t>
  </si>
  <si>
    <t>Customer 098</t>
  </si>
  <si>
    <t>ORD0023</t>
  </si>
  <si>
    <t>Customer 024</t>
  </si>
  <si>
    <t>ORD0165</t>
  </si>
  <si>
    <t>ORD0010</t>
  </si>
  <si>
    <t>ORD0236</t>
  </si>
  <si>
    <t>ORD0157</t>
  </si>
  <si>
    <t>ORD0029</t>
  </si>
  <si>
    <t>ORD0173</t>
  </si>
  <si>
    <t>ORD0156</t>
  </si>
  <si>
    <t>ORD0206</t>
  </si>
  <si>
    <t>Customer 031</t>
  </si>
  <si>
    <t>ORD0104</t>
  </si>
  <si>
    <t>ORD0061</t>
  </si>
  <si>
    <t>ORD0028</t>
  </si>
  <si>
    <t>ORD0094</t>
  </si>
  <si>
    <t>ORD0124</t>
  </si>
  <si>
    <t>Customer 006</t>
  </si>
  <si>
    <t>ORD0022</t>
  </si>
  <si>
    <t>ORD0013</t>
  </si>
  <si>
    <t>ORD0162</t>
  </si>
  <si>
    <t>ORD0103</t>
  </si>
  <si>
    <t>ORD0195</t>
  </si>
  <si>
    <t>ORD0232</t>
  </si>
  <si>
    <t>Customer 095</t>
  </si>
  <si>
    <t>ORD0007</t>
  </si>
  <si>
    <t>ORD0227</t>
  </si>
  <si>
    <t>ORD0182</t>
  </si>
  <si>
    <t>ORD0189</t>
  </si>
  <si>
    <t>Customer 010</t>
  </si>
  <si>
    <t>ORD0003</t>
  </si>
  <si>
    <t>ORD0211</t>
  </si>
  <si>
    <t>Customer 020</t>
  </si>
  <si>
    <t>ORD0220</t>
  </si>
  <si>
    <t>Customer 018</t>
  </si>
  <si>
    <t>ORD0072</t>
  </si>
  <si>
    <t>ORD0216</t>
  </si>
  <si>
    <t>ORD0129</t>
  </si>
  <si>
    <t>Customer 085</t>
  </si>
  <si>
    <t>ORD0096</t>
  </si>
  <si>
    <t>ORD0138</t>
  </si>
  <si>
    <t>Customer 043</t>
  </si>
  <si>
    <t>ORD0192</t>
  </si>
  <si>
    <t>ORD0245</t>
  </si>
  <si>
    <t>ORD0146</t>
  </si>
  <si>
    <t>ORD0237</t>
  </si>
  <si>
    <t>ORD0202</t>
  </si>
  <si>
    <t>ORD0043</t>
  </si>
  <si>
    <t>ORD0065</t>
  </si>
  <si>
    <t>ORD0085</t>
  </si>
  <si>
    <t>ORD0213</t>
  </si>
  <si>
    <t>ORD0097</t>
  </si>
  <si>
    <t>Customer 065</t>
  </si>
  <si>
    <t>ORD0132</t>
  </si>
  <si>
    <t>ORD0119</t>
  </si>
  <si>
    <t>ORD0145</t>
  </si>
  <si>
    <t>ORD0234</t>
  </si>
  <si>
    <t>ORD0117</t>
  </si>
  <si>
    <t>ORD0006</t>
  </si>
  <si>
    <t>ORD0048</t>
  </si>
  <si>
    <t>ORD0041</t>
  </si>
  <si>
    <t>ORD0128</t>
  </si>
  <si>
    <t>ORD0045</t>
  </si>
  <si>
    <t>ORD0107</t>
  </si>
  <si>
    <t>ORD0194</t>
  </si>
  <si>
    <t>ORD0127</t>
  </si>
  <si>
    <t>ORD0101</t>
  </si>
  <si>
    <t>ORD0100</t>
  </si>
  <si>
    <t>ORD0062</t>
  </si>
  <si>
    <t>ORD0078</t>
  </si>
  <si>
    <t>ORD0179</t>
  </si>
  <si>
    <t>ORD0092</t>
  </si>
  <si>
    <t>ORD0050</t>
  </si>
  <si>
    <t>ORD0163</t>
  </si>
  <si>
    <t>ORD0026</t>
  </si>
  <si>
    <t>ORD0233</t>
  </si>
  <si>
    <t>Customer 084</t>
  </si>
  <si>
    <t>ORD0082</t>
  </si>
  <si>
    <t>ORD0222</t>
  </si>
  <si>
    <t>ORD0031</t>
  </si>
  <si>
    <t>ORD0017</t>
  </si>
  <si>
    <t>ORD0229</t>
  </si>
  <si>
    <t>ORD0070</t>
  </si>
  <si>
    <t>ORD0244</t>
  </si>
  <si>
    <t>ORD0167</t>
  </si>
  <si>
    <t>ORD0141</t>
  </si>
  <si>
    <t>Customer 068</t>
  </si>
  <si>
    <t>ORD0060</t>
  </si>
  <si>
    <t>ORD0218</t>
  </si>
  <si>
    <t>ORD0198</t>
  </si>
  <si>
    <t>ORD0016</t>
  </si>
  <si>
    <t>ORD0112</t>
  </si>
  <si>
    <t>ORD0147</t>
  </si>
  <si>
    <t>ORD0111</t>
  </si>
  <si>
    <t>Customer 014</t>
  </si>
  <si>
    <t>TOTAL SALES</t>
  </si>
  <si>
    <t>TOTAL REVENUE</t>
  </si>
  <si>
    <t>TOTAL ORDERS</t>
  </si>
  <si>
    <t>TOTAL QUANTITY</t>
  </si>
  <si>
    <t>Row Labels</t>
  </si>
  <si>
    <t>Grand Total</t>
  </si>
  <si>
    <t>Jan</t>
  </si>
  <si>
    <t>Feb</t>
  </si>
  <si>
    <t>Mar</t>
  </si>
  <si>
    <t>Apr</t>
  </si>
  <si>
    <t>May</t>
  </si>
  <si>
    <t>Jun</t>
  </si>
  <si>
    <t>Jul</t>
  </si>
  <si>
    <t>Sep</t>
  </si>
  <si>
    <t>Oct</t>
  </si>
  <si>
    <t>Nov</t>
  </si>
  <si>
    <t>Dec</t>
  </si>
  <si>
    <t>Sum of Revenue</t>
  </si>
  <si>
    <t>Business Insights</t>
  </si>
  <si>
    <t>SALES AND REVENUE ANALYSIS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</si>
</sst>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5" formatCode="yyyy\-mm\-dd\ hh:mm:ss"/>
    <numFmt numFmtId="166" formatCode="\₹#,##0.00"/>
    <numFmt numFmtId="173" formatCode="&quot;₹&quot;\ #,##0.00"/>
  </numFmts>
  <fonts count="5" x14ac:knownFonts="1">
    <font>
      <sz val="11"/>
      <color theme="1"/>
      <name val="Calibri"/>
      <family val="2"/>
      <scheme val="minor"/>
    </font>
    <font>
      <b/>
      <sz val="11"/>
      <name val="Calibri"/>
    </font>
    <font>
      <b/>
      <sz val="11"/>
      <color theme="1"/>
      <name val="Calibri"/>
      <family val="2"/>
      <scheme val="minor"/>
    </font>
    <font>
      <b/>
      <sz val="18"/>
      <color theme="1"/>
      <name val="Calibri"/>
      <family val="2"/>
      <scheme val="minor"/>
    </font>
    <font>
      <sz val="20"/>
      <color theme="1"/>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1">
    <xf numFmtId="0" fontId="0" fillId="0" borderId="0"/>
  </cellStyleXfs>
  <cellXfs count="13">
    <xf numFmtId="0" fontId="0" fillId="0" borderId="0" xfId="0"/>
    <xf numFmtId="165" fontId="0" fillId="0" borderId="0" xfId="0" applyNumberFormat="1"/>
    <xf numFmtId="166" fontId="0" fillId="0" borderId="0" xfId="0" applyNumberFormat="1"/>
    <xf numFmtId="9" fontId="0" fillId="0" borderId="0" xfId="0" applyNumberFormat="1"/>
    <xf numFmtId="0" fontId="1" fillId="0" borderId="2" xfId="0" applyFont="1" applyBorder="1" applyAlignment="1">
      <alignment horizontal="center" vertical="top"/>
    </xf>
    <xf numFmtId="0" fontId="2" fillId="0" borderId="1" xfId="0" applyFont="1" applyBorder="1"/>
    <xf numFmtId="0" fontId="2" fillId="0" borderId="0" xfId="0" applyFont="1"/>
    <xf numFmtId="0" fontId="4" fillId="0" borderId="1" xfId="0" applyFont="1" applyBorder="1"/>
    <xf numFmtId="173" fontId="4" fillId="0" borderId="1" xfId="0" applyNumberFormat="1" applyFont="1" applyBorder="1"/>
    <xf numFmtId="0" fontId="0" fillId="0" borderId="0" xfId="0" pivotButton="1"/>
    <xf numFmtId="0" fontId="0" fillId="0" borderId="0" xfId="0" applyAlignment="1">
      <alignment horizontal="left"/>
    </xf>
    <xf numFmtId="0" fontId="0" fillId="0" borderId="0" xfId="0" applyAlignment="1"/>
    <xf numFmtId="0" fontId="3" fillId="0" borderId="0" xfId="0" applyFont="1" applyAlignment="1"/>
  </cellXfs>
  <cellStyles count="1">
    <cellStyle name="Normal" xfId="0" builtinId="0"/>
  </cellStyles>
  <dxfs count="8">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166" formatCode="\₹#,##0.00"/>
    </dxf>
    <dxf>
      <numFmt numFmtId="166" formatCode="\₹#,##0.00"/>
    </dxf>
    <dxf>
      <numFmt numFmtId="13" formatCode="0%"/>
    </dxf>
    <dxf>
      <numFmt numFmtId="166" formatCode="\₹#,##0.00"/>
    </dxf>
    <dxf>
      <numFmt numFmtId="165" formatCode="yyyy\-mm\-dd\ hh:mm:ss"/>
    </dxf>
    <dxf>
      <border outline="0">
        <bottom style="thin">
          <color auto="1"/>
        </bottom>
      </border>
    </dxf>
    <dxf>
      <border outline="0">
        <top style="thin">
          <color auto="1"/>
        </top>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7.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[Thiranex_Sales_Revenue_Dataset_Dashboard.xlsx]Sheet3!PivotTable2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a:t>
            </a:r>
            <a:r>
              <a:rPr lang="en-IN" baseline="0"/>
              <a:t> by Category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Total</c:v>
                </c:pt>
              </c:strCache>
            </c:strRef>
          </c:tx>
          <c:spPr>
            <a:solidFill>
              <a:schemeClr val="accent1"/>
            </a:solidFill>
            <a:ln>
              <a:noFill/>
            </a:ln>
            <a:effectLst/>
          </c:spPr>
          <c:invertIfNegative val="0"/>
          <c:cat>
            <c:strRef>
              <c:f>Sheet3!$A$4:$A$5</c:f>
              <c:strCache>
                <c:ptCount val="1"/>
                <c:pt idx="0">
                  <c:v>Fashion</c:v>
                </c:pt>
              </c:strCache>
            </c:strRef>
          </c:cat>
          <c:val>
            <c:numRef>
              <c:f>Sheet3!$B$4:$B$5</c:f>
              <c:numCache>
                <c:formatCode>\₹#,##0.00</c:formatCode>
                <c:ptCount val="1"/>
                <c:pt idx="0">
                  <c:v>82890.509999999995</c:v>
                </c:pt>
              </c:numCache>
            </c:numRef>
          </c:val>
          <c:extLst>
            <c:ext xmlns:c16="http://schemas.microsoft.com/office/drawing/2014/chart" uri="{C3380CC4-5D6E-409C-BE32-E72D297353CC}">
              <c16:uniqueId val="{00000000-82F6-47D5-A61B-52F43D2C35F7}"/>
            </c:ext>
          </c:extLst>
        </c:ser>
        <c:dLbls>
          <c:showLegendKey val="0"/>
          <c:showVal val="0"/>
          <c:showCatName val="0"/>
          <c:showSerName val="0"/>
          <c:showPercent val="0"/>
          <c:showBubbleSize val="0"/>
        </c:dLbls>
        <c:gapWidth val="219"/>
        <c:overlap val="-27"/>
        <c:axId val="475339647"/>
        <c:axId val="371658767"/>
      </c:barChart>
      <c:catAx>
        <c:axId val="475339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1658767"/>
        <c:crosses val="autoZero"/>
        <c:auto val="1"/>
        <c:lblAlgn val="ctr"/>
        <c:lblOffset val="100"/>
        <c:noMultiLvlLbl val="0"/>
      </c:catAx>
      <c:valAx>
        <c:axId val="37165876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53396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[Thiranex_Sales_Revenue_Dataset_Dashboard.xlsx]Sheet4!PivotTable3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a:t>
            </a:r>
            <a:r>
              <a:rPr lang="en-IN" baseline="0"/>
              <a:t> 5 Products by Revenue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Total</c:v>
                </c:pt>
              </c:strCache>
            </c:strRef>
          </c:tx>
          <c:spPr>
            <a:solidFill>
              <a:schemeClr val="accent1"/>
            </a:solidFill>
            <a:ln>
              <a:noFill/>
            </a:ln>
            <a:effectLst/>
          </c:spPr>
          <c:invertIfNegative val="0"/>
          <c:cat>
            <c:strRef>
              <c:f>Sheet4!$A$4:$A$5</c:f>
              <c:strCache>
                <c:ptCount val="1"/>
                <c:pt idx="0">
                  <c:v>Jeans</c:v>
                </c:pt>
              </c:strCache>
            </c:strRef>
          </c:cat>
          <c:val>
            <c:numRef>
              <c:f>Sheet4!$B$4:$B$5</c:f>
              <c:numCache>
                <c:formatCode>\₹#,##0.00</c:formatCode>
                <c:ptCount val="1"/>
                <c:pt idx="0">
                  <c:v>82890.509999999995</c:v>
                </c:pt>
              </c:numCache>
            </c:numRef>
          </c:val>
          <c:extLst>
            <c:ext xmlns:c16="http://schemas.microsoft.com/office/drawing/2014/chart" uri="{C3380CC4-5D6E-409C-BE32-E72D297353CC}">
              <c16:uniqueId val="{00000000-D738-4AE7-B959-405BD3748120}"/>
            </c:ext>
          </c:extLst>
        </c:ser>
        <c:dLbls>
          <c:showLegendKey val="0"/>
          <c:showVal val="0"/>
          <c:showCatName val="0"/>
          <c:showSerName val="0"/>
          <c:showPercent val="0"/>
          <c:showBubbleSize val="0"/>
        </c:dLbls>
        <c:gapWidth val="219"/>
        <c:overlap val="-27"/>
        <c:axId val="546296447"/>
        <c:axId val="371646767"/>
      </c:barChart>
      <c:catAx>
        <c:axId val="546296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1646767"/>
        <c:crosses val="autoZero"/>
        <c:auto val="1"/>
        <c:lblAlgn val="ctr"/>
        <c:lblOffset val="100"/>
        <c:noMultiLvlLbl val="0"/>
      </c:catAx>
      <c:valAx>
        <c:axId val="37164676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62964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[Thiranex_Sales_Revenue_Dataset_Dashboard.xlsx]Sheet5!PivotTable4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a:t>
            </a:r>
            <a:r>
              <a:rPr lang="en-IN" baseline="0"/>
              <a:t> by Region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Sheet5!$B$3</c:f>
              <c:strCache>
                <c:ptCount val="1"/>
                <c:pt idx="0">
                  <c:v>Total</c:v>
                </c:pt>
              </c:strCache>
            </c:strRef>
          </c:tx>
          <c:spPr>
            <a:solidFill>
              <a:schemeClr val="accent1"/>
            </a:solidFill>
            <a:ln>
              <a:noFill/>
            </a:ln>
            <a:effectLst/>
          </c:spPr>
          <c:invertIfNegative val="0"/>
          <c:cat>
            <c:strRef>
              <c:f>Sheet5!$A$4:$A$7</c:f>
              <c:strCache>
                <c:ptCount val="3"/>
                <c:pt idx="0">
                  <c:v>East</c:v>
                </c:pt>
                <c:pt idx="1">
                  <c:v>North</c:v>
                </c:pt>
                <c:pt idx="2">
                  <c:v>South</c:v>
                </c:pt>
              </c:strCache>
            </c:strRef>
          </c:cat>
          <c:val>
            <c:numRef>
              <c:f>Sheet5!$B$4:$B$7</c:f>
              <c:numCache>
                <c:formatCode>\₹#,##0.00</c:formatCode>
                <c:ptCount val="3"/>
                <c:pt idx="0">
                  <c:v>21700.42</c:v>
                </c:pt>
                <c:pt idx="1">
                  <c:v>25793.41</c:v>
                </c:pt>
                <c:pt idx="2">
                  <c:v>35396.68</c:v>
                </c:pt>
              </c:numCache>
            </c:numRef>
          </c:val>
          <c:extLst>
            <c:ext xmlns:c16="http://schemas.microsoft.com/office/drawing/2014/chart" uri="{C3380CC4-5D6E-409C-BE32-E72D297353CC}">
              <c16:uniqueId val="{00000000-C122-43C6-9010-C6A87B02B4B5}"/>
            </c:ext>
          </c:extLst>
        </c:ser>
        <c:dLbls>
          <c:showLegendKey val="0"/>
          <c:showVal val="0"/>
          <c:showCatName val="0"/>
          <c:showSerName val="0"/>
          <c:showPercent val="0"/>
          <c:showBubbleSize val="0"/>
        </c:dLbls>
        <c:gapWidth val="219"/>
        <c:overlap val="-27"/>
        <c:axId val="543754303"/>
        <c:axId val="371630447"/>
      </c:barChart>
      <c:catAx>
        <c:axId val="5437543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1630447"/>
        <c:crosses val="autoZero"/>
        <c:auto val="1"/>
        <c:lblAlgn val="ctr"/>
        <c:lblOffset val="100"/>
        <c:noMultiLvlLbl val="0"/>
      </c:catAx>
      <c:valAx>
        <c:axId val="37163044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37543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[Thiranex_Sales_Revenue_Dataset_Dashboard.xlsx]Sheet2!PivotTable1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Monthly</a:t>
            </a:r>
            <a:r>
              <a:rPr lang="en-IN" baseline="0"/>
              <a:t> Revenue Trend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Sheet2!$B$3</c:f>
              <c:strCache>
                <c:ptCount val="1"/>
                <c:pt idx="0">
                  <c:v>Total</c:v>
                </c:pt>
              </c:strCache>
            </c:strRef>
          </c:tx>
          <c:spPr>
            <a:ln w="28575" cap="rnd">
              <a:solidFill>
                <a:schemeClr val="accent1"/>
              </a:solidFill>
              <a:round/>
            </a:ln>
            <a:effectLst/>
          </c:spPr>
          <c:marker>
            <c:symbol val="none"/>
          </c:marker>
          <c:cat>
            <c:strRef>
              <c:f>Sheet2!$A$4:$A$15</c:f>
              <c:strCache>
                <c:ptCount val="11"/>
                <c:pt idx="0">
                  <c:v>Jan</c:v>
                </c:pt>
                <c:pt idx="1">
                  <c:v>Feb</c:v>
                </c:pt>
                <c:pt idx="2">
                  <c:v>Mar</c:v>
                </c:pt>
                <c:pt idx="3">
                  <c:v>Apr</c:v>
                </c:pt>
                <c:pt idx="4">
                  <c:v>May</c:v>
                </c:pt>
                <c:pt idx="5">
                  <c:v>Jun</c:v>
                </c:pt>
                <c:pt idx="6">
                  <c:v>Jul</c:v>
                </c:pt>
                <c:pt idx="7">
                  <c:v>Sep</c:v>
                </c:pt>
                <c:pt idx="8">
                  <c:v>Oct</c:v>
                </c:pt>
                <c:pt idx="9">
                  <c:v>Nov</c:v>
                </c:pt>
                <c:pt idx="10">
                  <c:v>Dec</c:v>
                </c:pt>
              </c:strCache>
            </c:strRef>
          </c:cat>
          <c:val>
            <c:numRef>
              <c:f>Sheet2!$B$4:$B$15</c:f>
              <c:numCache>
                <c:formatCode>\₹#,##0.00</c:formatCode>
                <c:ptCount val="11"/>
                <c:pt idx="0">
                  <c:v>3857.64</c:v>
                </c:pt>
                <c:pt idx="1">
                  <c:v>7133</c:v>
                </c:pt>
                <c:pt idx="2">
                  <c:v>5393.97</c:v>
                </c:pt>
                <c:pt idx="3">
                  <c:v>9951.89</c:v>
                </c:pt>
                <c:pt idx="4">
                  <c:v>8708.52</c:v>
                </c:pt>
                <c:pt idx="5">
                  <c:v>7010.68</c:v>
                </c:pt>
                <c:pt idx="6">
                  <c:v>7551.73</c:v>
                </c:pt>
                <c:pt idx="7">
                  <c:v>13127.43</c:v>
                </c:pt>
                <c:pt idx="8">
                  <c:v>9583.75</c:v>
                </c:pt>
                <c:pt idx="9">
                  <c:v>8754.7199999999993</c:v>
                </c:pt>
                <c:pt idx="10">
                  <c:v>1817.18</c:v>
                </c:pt>
              </c:numCache>
            </c:numRef>
          </c:val>
          <c:smooth val="0"/>
          <c:extLst>
            <c:ext xmlns:c16="http://schemas.microsoft.com/office/drawing/2014/chart" uri="{C3380CC4-5D6E-409C-BE32-E72D297353CC}">
              <c16:uniqueId val="{00000000-7A61-41FA-B770-7EE13B1CDE93}"/>
            </c:ext>
          </c:extLst>
        </c:ser>
        <c:dLbls>
          <c:showLegendKey val="0"/>
          <c:showVal val="0"/>
          <c:showCatName val="0"/>
          <c:showSerName val="0"/>
          <c:showPercent val="0"/>
          <c:showBubbleSize val="0"/>
        </c:dLbls>
        <c:smooth val="0"/>
        <c:axId val="471847455"/>
        <c:axId val="371679887"/>
      </c:lineChart>
      <c:catAx>
        <c:axId val="47184745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1679887"/>
        <c:crosses val="autoZero"/>
        <c:auto val="1"/>
        <c:lblAlgn val="ctr"/>
        <c:lblOffset val="100"/>
        <c:noMultiLvlLbl val="0"/>
      </c:catAx>
      <c:valAx>
        <c:axId val="37167988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18474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[Thiranex_Sales_Revenue_Dataset_Dashboard.xlsx]Sheet3!PivotTable2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 by Category</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Total</c:v>
                </c:pt>
              </c:strCache>
            </c:strRef>
          </c:tx>
          <c:spPr>
            <a:solidFill>
              <a:schemeClr val="accent1"/>
            </a:solidFill>
            <a:ln>
              <a:noFill/>
            </a:ln>
            <a:effectLst/>
          </c:spPr>
          <c:invertIfNegative val="0"/>
          <c:cat>
            <c:strRef>
              <c:f>Sheet3!$A$4:$A$5</c:f>
              <c:strCache>
                <c:ptCount val="1"/>
                <c:pt idx="0">
                  <c:v>Fashion</c:v>
                </c:pt>
              </c:strCache>
            </c:strRef>
          </c:cat>
          <c:val>
            <c:numRef>
              <c:f>Sheet3!$B$4:$B$5</c:f>
              <c:numCache>
                <c:formatCode>\₹#,##0.00</c:formatCode>
                <c:ptCount val="1"/>
                <c:pt idx="0">
                  <c:v>82890.509999999995</c:v>
                </c:pt>
              </c:numCache>
            </c:numRef>
          </c:val>
          <c:extLst>
            <c:ext xmlns:c16="http://schemas.microsoft.com/office/drawing/2014/chart" uri="{C3380CC4-5D6E-409C-BE32-E72D297353CC}">
              <c16:uniqueId val="{00000006-951D-4A16-8D2D-877F8E1537A5}"/>
            </c:ext>
          </c:extLst>
        </c:ser>
        <c:dLbls>
          <c:showLegendKey val="0"/>
          <c:showVal val="0"/>
          <c:showCatName val="0"/>
          <c:showSerName val="0"/>
          <c:showPercent val="0"/>
          <c:showBubbleSize val="0"/>
        </c:dLbls>
        <c:gapWidth val="219"/>
        <c:overlap val="-27"/>
        <c:axId val="546296447"/>
        <c:axId val="371646767"/>
      </c:barChart>
      <c:catAx>
        <c:axId val="546296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1646767"/>
        <c:crosses val="autoZero"/>
        <c:auto val="1"/>
        <c:lblAlgn val="ctr"/>
        <c:lblOffset val="100"/>
        <c:noMultiLvlLbl val="0"/>
      </c:catAx>
      <c:valAx>
        <c:axId val="37164676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6296447"/>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[Thiranex_Sales_Revenue_Dataset_Dashboard.xlsx]Sheet4!PivotTable3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 5 Products by Revenue</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Total</c:v>
                </c:pt>
              </c:strCache>
            </c:strRef>
          </c:tx>
          <c:spPr>
            <a:solidFill>
              <a:schemeClr val="accent1"/>
            </a:solidFill>
            <a:ln>
              <a:noFill/>
            </a:ln>
            <a:effectLst/>
          </c:spPr>
          <c:invertIfNegative val="0"/>
          <c:cat>
            <c:strRef>
              <c:f>Sheet4!$A$4:$A$5</c:f>
              <c:strCache>
                <c:ptCount val="1"/>
                <c:pt idx="0">
                  <c:v>Jeans</c:v>
                </c:pt>
              </c:strCache>
            </c:strRef>
          </c:cat>
          <c:val>
            <c:numRef>
              <c:f>Sheet4!$B$4:$B$5</c:f>
              <c:numCache>
                <c:formatCode>\₹#,##0.00</c:formatCode>
                <c:ptCount val="1"/>
                <c:pt idx="0">
                  <c:v>82890.509999999995</c:v>
                </c:pt>
              </c:numCache>
            </c:numRef>
          </c:val>
          <c:extLst>
            <c:ext xmlns:c16="http://schemas.microsoft.com/office/drawing/2014/chart" uri="{C3380CC4-5D6E-409C-BE32-E72D297353CC}">
              <c16:uniqueId val="{0000000A-2468-48D5-8B9B-2CAF36C66BD8}"/>
            </c:ext>
          </c:extLst>
        </c:ser>
        <c:dLbls>
          <c:showLegendKey val="0"/>
          <c:showVal val="0"/>
          <c:showCatName val="0"/>
          <c:showSerName val="0"/>
          <c:showPercent val="0"/>
          <c:showBubbleSize val="0"/>
        </c:dLbls>
        <c:gapWidth val="219"/>
        <c:overlap val="-27"/>
        <c:axId val="543754303"/>
        <c:axId val="371630447"/>
      </c:barChart>
      <c:catAx>
        <c:axId val="5437543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1630447"/>
        <c:crosses val="autoZero"/>
        <c:auto val="1"/>
        <c:lblAlgn val="ctr"/>
        <c:lblOffset val="100"/>
        <c:noMultiLvlLbl val="0"/>
      </c:catAx>
      <c:valAx>
        <c:axId val="37163044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3754303"/>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[Thiranex_Sales_Revenue_Dataset_Dashboard.xlsx]Sheet5!PivotTable4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a:t>
            </a:r>
            <a:r>
              <a:rPr lang="en-IN" baseline="0"/>
              <a:t> by Region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Sheet5!$B$3</c:f>
              <c:strCache>
                <c:ptCount val="1"/>
                <c:pt idx="0">
                  <c:v>Total</c:v>
                </c:pt>
              </c:strCache>
            </c:strRef>
          </c:tx>
          <c:spPr>
            <a:solidFill>
              <a:schemeClr val="accent1"/>
            </a:solidFill>
            <a:ln>
              <a:noFill/>
            </a:ln>
            <a:effectLst/>
          </c:spPr>
          <c:invertIfNegative val="0"/>
          <c:cat>
            <c:strRef>
              <c:f>Sheet5!$A$4:$A$7</c:f>
              <c:strCache>
                <c:ptCount val="3"/>
                <c:pt idx="0">
                  <c:v>East</c:v>
                </c:pt>
                <c:pt idx="1">
                  <c:v>North</c:v>
                </c:pt>
                <c:pt idx="2">
                  <c:v>South</c:v>
                </c:pt>
              </c:strCache>
            </c:strRef>
          </c:cat>
          <c:val>
            <c:numRef>
              <c:f>Sheet5!$B$4:$B$7</c:f>
              <c:numCache>
                <c:formatCode>\₹#,##0.00</c:formatCode>
                <c:ptCount val="3"/>
                <c:pt idx="0">
                  <c:v>21700.42</c:v>
                </c:pt>
                <c:pt idx="1">
                  <c:v>25793.41</c:v>
                </c:pt>
                <c:pt idx="2">
                  <c:v>35396.68</c:v>
                </c:pt>
              </c:numCache>
            </c:numRef>
          </c:val>
          <c:extLst>
            <c:ext xmlns:c16="http://schemas.microsoft.com/office/drawing/2014/chart" uri="{C3380CC4-5D6E-409C-BE32-E72D297353CC}">
              <c16:uniqueId val="{00000000-A5C1-4253-9509-ED30AD68796E}"/>
            </c:ext>
          </c:extLst>
        </c:ser>
        <c:dLbls>
          <c:showLegendKey val="0"/>
          <c:showVal val="0"/>
          <c:showCatName val="0"/>
          <c:showSerName val="0"/>
          <c:showPercent val="0"/>
          <c:showBubbleSize val="0"/>
        </c:dLbls>
        <c:gapWidth val="219"/>
        <c:overlap val="-27"/>
        <c:axId val="543754303"/>
        <c:axId val="371630447"/>
      </c:barChart>
      <c:catAx>
        <c:axId val="5437543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1630447"/>
        <c:crosses val="autoZero"/>
        <c:auto val="1"/>
        <c:lblAlgn val="ctr"/>
        <c:lblOffset val="100"/>
        <c:noMultiLvlLbl val="0"/>
      </c:catAx>
      <c:valAx>
        <c:axId val="37163044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37543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3</xdr:col>
      <xdr:colOff>525780</xdr:colOff>
      <xdr:row>6</xdr:row>
      <xdr:rowOff>41910</xdr:rowOff>
    </xdr:from>
    <xdr:to>
      <xdr:col>11</xdr:col>
      <xdr:colOff>220980</xdr:colOff>
      <xdr:row>21</xdr:row>
      <xdr:rowOff>41910</xdr:rowOff>
    </xdr:to>
    <xdr:graphicFrame macro="">
      <xdr:nvGraphicFramePr>
        <xdr:cNvPr id="3" name="Chart 2">
          <a:extLst>
            <a:ext uri="{FF2B5EF4-FFF2-40B4-BE49-F238E27FC236}">
              <a16:creationId xmlns:a16="http://schemas.microsoft.com/office/drawing/2014/main" id="{28D2299C-3FBF-EAFC-92EA-C6D951B5CC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518160</xdr:colOff>
      <xdr:row>6</xdr:row>
      <xdr:rowOff>41910</xdr:rowOff>
    </xdr:from>
    <xdr:to>
      <xdr:col>11</xdr:col>
      <xdr:colOff>213360</xdr:colOff>
      <xdr:row>21</xdr:row>
      <xdr:rowOff>41910</xdr:rowOff>
    </xdr:to>
    <xdr:graphicFrame macro="">
      <xdr:nvGraphicFramePr>
        <xdr:cNvPr id="2" name="Chart 1">
          <a:extLst>
            <a:ext uri="{FF2B5EF4-FFF2-40B4-BE49-F238E27FC236}">
              <a16:creationId xmlns:a16="http://schemas.microsoft.com/office/drawing/2014/main" id="{A4D80657-2C56-05E1-8424-BE9E61116D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30480</xdr:colOff>
      <xdr:row>6</xdr:row>
      <xdr:rowOff>41910</xdr:rowOff>
    </xdr:from>
    <xdr:to>
      <xdr:col>11</xdr:col>
      <xdr:colOff>335280</xdr:colOff>
      <xdr:row>21</xdr:row>
      <xdr:rowOff>41910</xdr:rowOff>
    </xdr:to>
    <xdr:graphicFrame macro="">
      <xdr:nvGraphicFramePr>
        <xdr:cNvPr id="2" name="Chart 1">
          <a:extLst>
            <a:ext uri="{FF2B5EF4-FFF2-40B4-BE49-F238E27FC236}">
              <a16:creationId xmlns:a16="http://schemas.microsoft.com/office/drawing/2014/main" id="{88B8C9C5-D413-E8BA-2205-66134CEC9A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19</xdr:col>
      <xdr:colOff>68580</xdr:colOff>
      <xdr:row>10</xdr:row>
      <xdr:rowOff>167640</xdr:rowOff>
    </xdr:from>
    <xdr:to>
      <xdr:col>22</xdr:col>
      <xdr:colOff>68580</xdr:colOff>
      <xdr:row>24</xdr:row>
      <xdr:rowOff>74295</xdr:rowOff>
    </xdr:to>
    <mc:AlternateContent xmlns:mc="http://schemas.openxmlformats.org/markup-compatibility/2006">
      <mc:Choice xmlns:a14="http://schemas.microsoft.com/office/drawing/2010/main" Requires="a14">
        <xdr:graphicFrame macro="">
          <xdr:nvGraphicFramePr>
            <xdr:cNvPr id="3" name="Region">
              <a:extLst>
                <a:ext uri="{FF2B5EF4-FFF2-40B4-BE49-F238E27FC236}">
                  <a16:creationId xmlns:a16="http://schemas.microsoft.com/office/drawing/2014/main" id="{553AAD28-470D-40DE-B0B2-97429568784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2313920" y="19964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510540</xdr:colOff>
      <xdr:row>6</xdr:row>
      <xdr:rowOff>175260</xdr:rowOff>
    </xdr:from>
    <xdr:to>
      <xdr:col>14</xdr:col>
      <xdr:colOff>510540</xdr:colOff>
      <xdr:row>20</xdr:row>
      <xdr:rowOff>81915</xdr:rowOff>
    </xdr:to>
    <mc:AlternateContent xmlns:mc="http://schemas.openxmlformats.org/markup-compatibility/2006">
      <mc:Choice xmlns:a14="http://schemas.microsoft.com/office/drawing/2010/main" Requires="a14">
        <xdr:graphicFrame macro="">
          <xdr:nvGraphicFramePr>
            <xdr:cNvPr id="4" name="Category">
              <a:extLst>
                <a:ext uri="{FF2B5EF4-FFF2-40B4-BE49-F238E27FC236}">
                  <a16:creationId xmlns:a16="http://schemas.microsoft.com/office/drawing/2014/main" id="{A12A9B84-6D94-6D0F-FA02-F6B79392E5E6}"/>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7879080" y="12725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586740</xdr:colOff>
      <xdr:row>4</xdr:row>
      <xdr:rowOff>167640</xdr:rowOff>
    </xdr:from>
    <xdr:to>
      <xdr:col>18</xdr:col>
      <xdr:colOff>586740</xdr:colOff>
      <xdr:row>18</xdr:row>
      <xdr:rowOff>74295</xdr:rowOff>
    </xdr:to>
    <mc:AlternateContent xmlns:mc="http://schemas.openxmlformats.org/markup-compatibility/2006">
      <mc:Choice xmlns:a14="http://schemas.microsoft.com/office/drawing/2010/main" Requires="a14">
        <xdr:graphicFrame macro="">
          <xdr:nvGraphicFramePr>
            <xdr:cNvPr id="5" name="Product">
              <a:extLst>
                <a:ext uri="{FF2B5EF4-FFF2-40B4-BE49-F238E27FC236}">
                  <a16:creationId xmlns:a16="http://schemas.microsoft.com/office/drawing/2014/main" id="{21E69034-CD96-E0B1-3D7F-8DD344E76F94}"/>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10393680" y="8991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10</xdr:col>
      <xdr:colOff>7620</xdr:colOff>
      <xdr:row>1</xdr:row>
      <xdr:rowOff>22860</xdr:rowOff>
    </xdr:from>
    <xdr:to>
      <xdr:col>13</xdr:col>
      <xdr:colOff>7620</xdr:colOff>
      <xdr:row>13</xdr:row>
      <xdr:rowOff>150495</xdr:rowOff>
    </xdr:to>
    <mc:AlternateContent xmlns:mc="http://schemas.openxmlformats.org/markup-compatibility/2006">
      <mc:Choice xmlns:a14="http://schemas.microsoft.com/office/drawing/2010/main" Requires="a14">
        <xdr:graphicFrame macro="">
          <xdr:nvGraphicFramePr>
            <xdr:cNvPr id="3" name="Category 1">
              <a:extLst>
                <a:ext uri="{FF2B5EF4-FFF2-40B4-BE49-F238E27FC236}">
                  <a16:creationId xmlns:a16="http://schemas.microsoft.com/office/drawing/2014/main" id="{D08B4728-288B-44C9-BCF5-146F02BFE1EB}"/>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10170919" y="319743"/>
              <a:ext cx="1840675" cy="24136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114300</xdr:colOff>
      <xdr:row>14</xdr:row>
      <xdr:rowOff>22860</xdr:rowOff>
    </xdr:from>
    <xdr:to>
      <xdr:col>14</xdr:col>
      <xdr:colOff>114300</xdr:colOff>
      <xdr:row>27</xdr:row>
      <xdr:rowOff>112395</xdr:rowOff>
    </xdr:to>
    <mc:AlternateContent xmlns:mc="http://schemas.openxmlformats.org/markup-compatibility/2006">
      <mc:Choice xmlns:a14="http://schemas.microsoft.com/office/drawing/2010/main" Requires="a14">
        <xdr:graphicFrame macro="">
          <xdr:nvGraphicFramePr>
            <xdr:cNvPr id="5" name="Region 1">
              <a:extLst>
                <a:ext uri="{FF2B5EF4-FFF2-40B4-BE49-F238E27FC236}">
                  <a16:creationId xmlns:a16="http://schemas.microsoft.com/office/drawing/2014/main" id="{5C7B0609-36D8-4A9A-94BE-5E58C741A8BD}"/>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0891157" y="2783873"/>
              <a:ext cx="1840675" cy="24052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167640</xdr:colOff>
      <xdr:row>1</xdr:row>
      <xdr:rowOff>7620</xdr:rowOff>
    </xdr:from>
    <xdr:to>
      <xdr:col>16</xdr:col>
      <xdr:colOff>167640</xdr:colOff>
      <xdr:row>13</xdr:row>
      <xdr:rowOff>135255</xdr:rowOff>
    </xdr:to>
    <mc:AlternateContent xmlns:mc="http://schemas.openxmlformats.org/markup-compatibility/2006">
      <mc:Choice xmlns:a14="http://schemas.microsoft.com/office/drawing/2010/main" Requires="a14">
        <xdr:graphicFrame macro="">
          <xdr:nvGraphicFramePr>
            <xdr:cNvPr id="7" name="Product 1">
              <a:extLst>
                <a:ext uri="{FF2B5EF4-FFF2-40B4-BE49-F238E27FC236}">
                  <a16:creationId xmlns:a16="http://schemas.microsoft.com/office/drawing/2014/main" id="{E7E49419-EDD7-4B05-BB8C-52AF055E4AA5}"/>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12171614" y="304503"/>
              <a:ext cx="1840675" cy="24136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15240</xdr:colOff>
      <xdr:row>4</xdr:row>
      <xdr:rowOff>0</xdr:rowOff>
    </xdr:from>
    <xdr:to>
      <xdr:col>3</xdr:col>
      <xdr:colOff>1569720</xdr:colOff>
      <xdr:row>17</xdr:row>
      <xdr:rowOff>7620</xdr:rowOff>
    </xdr:to>
    <xdr:graphicFrame macro="">
      <xdr:nvGraphicFramePr>
        <xdr:cNvPr id="8" name="Chart 7">
          <a:extLst>
            <a:ext uri="{FF2B5EF4-FFF2-40B4-BE49-F238E27FC236}">
              <a16:creationId xmlns:a16="http://schemas.microsoft.com/office/drawing/2014/main" id="{E601D70C-5BD9-40C8-BA30-7F346231F7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1760220</xdr:colOff>
      <xdr:row>4</xdr:row>
      <xdr:rowOff>7620</xdr:rowOff>
    </xdr:from>
    <xdr:to>
      <xdr:col>8</xdr:col>
      <xdr:colOff>137160</xdr:colOff>
      <xdr:row>17</xdr:row>
      <xdr:rowOff>7620</xdr:rowOff>
    </xdr:to>
    <xdr:graphicFrame macro="">
      <xdr:nvGraphicFramePr>
        <xdr:cNvPr id="9" name="Chart 8">
          <a:extLst>
            <a:ext uri="{FF2B5EF4-FFF2-40B4-BE49-F238E27FC236}">
              <a16:creationId xmlns:a16="http://schemas.microsoft.com/office/drawing/2014/main" id="{480868EE-70D8-4AAE-9D97-983180E7BD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15240</xdr:colOff>
      <xdr:row>18</xdr:row>
      <xdr:rowOff>0</xdr:rowOff>
    </xdr:from>
    <xdr:to>
      <xdr:col>3</xdr:col>
      <xdr:colOff>1478280</xdr:colOff>
      <xdr:row>31</xdr:row>
      <xdr:rowOff>167640</xdr:rowOff>
    </xdr:to>
    <xdr:graphicFrame macro="">
      <xdr:nvGraphicFramePr>
        <xdr:cNvPr id="10" name="Chart 9">
          <a:extLst>
            <a:ext uri="{FF2B5EF4-FFF2-40B4-BE49-F238E27FC236}">
              <a16:creationId xmlns:a16="http://schemas.microsoft.com/office/drawing/2014/main" id="{17901DDA-2C3D-4C54-B5AC-B1E40BACA5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1752600</xdr:colOff>
      <xdr:row>18</xdr:row>
      <xdr:rowOff>7620</xdr:rowOff>
    </xdr:from>
    <xdr:to>
      <xdr:col>8</xdr:col>
      <xdr:colOff>114300</xdr:colOff>
      <xdr:row>31</xdr:row>
      <xdr:rowOff>167640</xdr:rowOff>
    </xdr:to>
    <xdr:graphicFrame macro="">
      <xdr:nvGraphicFramePr>
        <xdr:cNvPr id="11" name="Chart 10">
          <a:extLst>
            <a:ext uri="{FF2B5EF4-FFF2-40B4-BE49-F238E27FC236}">
              <a16:creationId xmlns:a16="http://schemas.microsoft.com/office/drawing/2014/main" id="{4E5653D7-5BBD-4F0F-A024-68471427A8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0</xdr:col>
      <xdr:colOff>594360</xdr:colOff>
      <xdr:row>35</xdr:row>
      <xdr:rowOff>160020</xdr:rowOff>
    </xdr:from>
    <xdr:ext cx="7661507" cy="1814599"/>
    <xdr:sp macro="" textlink="">
      <xdr:nvSpPr>
        <xdr:cNvPr id="12" name="TextBox 11">
          <a:extLst>
            <a:ext uri="{FF2B5EF4-FFF2-40B4-BE49-F238E27FC236}">
              <a16:creationId xmlns:a16="http://schemas.microsoft.com/office/drawing/2014/main" id="{B7FFA4E9-6105-0A2C-AB70-58A4501B2AE5}"/>
            </a:ext>
          </a:extLst>
        </xdr:cNvPr>
        <xdr:cNvSpPr txBox="1"/>
      </xdr:nvSpPr>
      <xdr:spPr>
        <a:xfrm>
          <a:off x="594360" y="6705600"/>
          <a:ext cx="7661507" cy="18145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a:t>Revenue Trend: Monthly revenue varies across the year, helping identify strong and weak sales periods.</a:t>
          </a:r>
        </a:p>
        <a:p>
          <a:endParaRPr lang="en-IN"/>
        </a:p>
        <a:p>
          <a:r>
            <a:rPr lang="en-IN"/>
            <a:t>Top Products: The top 5 products contribute significantly to overall revenue and should be prioritized for stock availability.</a:t>
          </a:r>
        </a:p>
        <a:p>
          <a:endParaRPr lang="en-IN"/>
        </a:p>
        <a:p>
          <a:r>
            <a:rPr lang="en-IN"/>
            <a:t>Category Performance: Different categories generate different levels of revenue, helping identify stronger product categories.</a:t>
          </a:r>
        </a:p>
        <a:p>
          <a:endParaRPr lang="en-IN"/>
        </a:p>
        <a:p>
          <a:r>
            <a:rPr lang="en-IN"/>
            <a:t>Regional Performance: Comparing regions helps identify high-performing and underperforming markets.</a:t>
          </a:r>
        </a:p>
        <a:p>
          <a:endParaRPr lang="en-IN"/>
        </a:p>
        <a:p>
          <a:r>
            <a:rPr lang="en-IN"/>
            <a:t>Business Action: Focus marketing and inventory efforts on high-performing products and regions while improving weaker areas.</a:t>
          </a:r>
        </a:p>
        <a:p>
          <a:endParaRPr lang="en-IN" sz="1100"/>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eghana" refreshedDate="46279.817252314817" createdVersion="8" refreshedVersion="8" minRefreshableVersion="3" recordCount="250" xr:uid="{C6647C79-EA1A-45F1-BBE6-7777A97FC2BE}">
  <cacheSource type="worksheet">
    <worksheetSource name="SalesData"/>
  </cacheSource>
  <cacheFields count="13">
    <cacheField name="Order_ID" numFmtId="0">
      <sharedItems/>
    </cacheField>
    <cacheField name="Order_Date" numFmtId="165">
      <sharedItems containsSemiMixedTypes="0" containsNonDate="0" containsDate="1" containsString="0" minDate="2025-01-01T00:00:00" maxDate="2026-01-01T00:00:00" count="190">
        <d v="2025-01-01T00:00:00"/>
        <d v="2025-01-07T00:00:00"/>
        <d v="2025-01-09T00:00:00"/>
        <d v="2025-01-12T00:00:00"/>
        <d v="2025-01-13T00:00:00"/>
        <d v="2025-01-14T00:00:00"/>
        <d v="2025-01-17T00:00:00"/>
        <d v="2025-01-19T00:00:00"/>
        <d v="2025-01-21T00:00:00"/>
        <d v="2025-01-22T00:00:00"/>
        <d v="2025-01-24T00:00:00"/>
        <d v="2025-01-25T00:00:00"/>
        <d v="2025-01-26T00:00:00"/>
        <d v="2025-01-27T00:00:00"/>
        <d v="2025-01-28T00:00:00"/>
        <d v="2025-02-06T00:00:00"/>
        <d v="2025-02-07T00:00:00"/>
        <d v="2025-02-08T00:00:00"/>
        <d v="2025-02-09T00:00:00"/>
        <d v="2025-02-10T00:00:00"/>
        <d v="2025-02-11T00:00:00"/>
        <d v="2025-02-13T00:00:00"/>
        <d v="2025-02-16T00:00:00"/>
        <d v="2025-02-18T00:00:00"/>
        <d v="2025-02-19T00:00:00"/>
        <d v="2025-02-20T00:00:00"/>
        <d v="2025-02-21T00:00:00"/>
        <d v="2025-02-23T00:00:00"/>
        <d v="2025-02-24T00:00:00"/>
        <d v="2025-02-25T00:00:00"/>
        <d v="2025-02-27T00:00:00"/>
        <d v="2025-02-28T00:00:00"/>
        <d v="2025-03-01T00:00:00"/>
        <d v="2025-03-02T00:00:00"/>
        <d v="2025-03-03T00:00:00"/>
        <d v="2025-03-04T00:00:00"/>
        <d v="2025-03-05T00:00:00"/>
        <d v="2025-03-06T00:00:00"/>
        <d v="2025-03-07T00:00:00"/>
        <d v="2025-03-10T00:00:00"/>
        <d v="2025-03-11T00:00:00"/>
        <d v="2025-03-14T00:00:00"/>
        <d v="2025-03-16T00:00:00"/>
        <d v="2025-03-21T00:00:00"/>
        <d v="2025-03-24T00:00:00"/>
        <d v="2025-03-26T00:00:00"/>
        <d v="2025-03-27T00:00:00"/>
        <d v="2025-03-28T00:00:00"/>
        <d v="2025-03-31T00:00:00"/>
        <d v="2025-04-02T00:00:00"/>
        <d v="2025-04-03T00:00:00"/>
        <d v="2025-04-05T00:00:00"/>
        <d v="2025-04-06T00:00:00"/>
        <d v="2025-04-08T00:00:00"/>
        <d v="2025-04-09T00:00:00"/>
        <d v="2025-04-11T00:00:00"/>
        <d v="2025-04-12T00:00:00"/>
        <d v="2025-04-13T00:00:00"/>
        <d v="2025-04-14T00:00:00"/>
        <d v="2025-04-15T00:00:00"/>
        <d v="2025-04-16T00:00:00"/>
        <d v="2025-04-19T00:00:00"/>
        <d v="2025-04-22T00:00:00"/>
        <d v="2025-04-23T00:00:00"/>
        <d v="2025-04-26T00:00:00"/>
        <d v="2025-04-27T00:00:00"/>
        <d v="2025-04-28T00:00:00"/>
        <d v="2025-04-29T00:00:00"/>
        <d v="2025-05-02T00:00:00"/>
        <d v="2025-05-04T00:00:00"/>
        <d v="2025-05-05T00:00:00"/>
        <d v="2025-05-08T00:00:00"/>
        <d v="2025-05-11T00:00:00"/>
        <d v="2025-05-12T00:00:00"/>
        <d v="2025-05-14T00:00:00"/>
        <d v="2025-05-15T00:00:00"/>
        <d v="2025-05-16T00:00:00"/>
        <d v="2025-05-18T00:00:00"/>
        <d v="2025-05-22T00:00:00"/>
        <d v="2025-05-23T00:00:00"/>
        <d v="2025-05-24T00:00:00"/>
        <d v="2025-05-25T00:00:00"/>
        <d v="2025-05-26T00:00:00"/>
        <d v="2025-05-27T00:00:00"/>
        <d v="2025-05-28T00:00:00"/>
        <d v="2025-05-31T00:00:00"/>
        <d v="2025-06-01T00:00:00"/>
        <d v="2025-06-02T00:00:00"/>
        <d v="2025-06-03T00:00:00"/>
        <d v="2025-06-04T00:00:00"/>
        <d v="2025-06-06T00:00:00"/>
        <d v="2025-06-07T00:00:00"/>
        <d v="2025-06-08T00:00:00"/>
        <d v="2025-06-10T00:00:00"/>
        <d v="2025-06-12T00:00:00"/>
        <d v="2025-06-13T00:00:00"/>
        <d v="2025-06-15T00:00:00"/>
        <d v="2025-06-17T00:00:00"/>
        <d v="2025-06-18T00:00:00"/>
        <d v="2025-06-19T00:00:00"/>
        <d v="2025-06-26T00:00:00"/>
        <d v="2025-06-29T00:00:00"/>
        <d v="2025-06-30T00:00:00"/>
        <d v="2025-07-02T00:00:00"/>
        <d v="2025-07-03T00:00:00"/>
        <d v="2025-07-05T00:00:00"/>
        <d v="2025-07-06T00:00:00"/>
        <d v="2025-07-07T00:00:00"/>
        <d v="2025-07-09T00:00:00"/>
        <d v="2025-07-11T00:00:00"/>
        <d v="2025-07-12T00:00:00"/>
        <d v="2025-07-13T00:00:00"/>
        <d v="2025-07-15T00:00:00"/>
        <d v="2025-07-16T00:00:00"/>
        <d v="2025-07-19T00:00:00"/>
        <d v="2025-07-21T00:00:00"/>
        <d v="2025-07-23T00:00:00"/>
        <d v="2025-07-26T00:00:00"/>
        <d v="2025-07-29T00:00:00"/>
        <d v="2025-07-30T00:00:00"/>
        <d v="2025-08-01T00:00:00"/>
        <d v="2025-08-06T00:00:00"/>
        <d v="2025-08-08T00:00:00"/>
        <d v="2025-08-11T00:00:00"/>
        <d v="2025-08-12T00:00:00"/>
        <d v="2025-08-14T00:00:00"/>
        <d v="2025-08-15T00:00:00"/>
        <d v="2025-08-16T00:00:00"/>
        <d v="2025-08-21T00:00:00"/>
        <d v="2025-08-22T00:00:00"/>
        <d v="2025-08-25T00:00:00"/>
        <d v="2025-08-26T00:00:00"/>
        <d v="2025-08-27T00:00:00"/>
        <d v="2025-08-28T00:00:00"/>
        <d v="2025-09-03T00:00:00"/>
        <d v="2025-09-04T00:00:00"/>
        <d v="2025-09-06T00:00:00"/>
        <d v="2025-09-07T00:00:00"/>
        <d v="2025-09-12T00:00:00"/>
        <d v="2025-09-16T00:00:00"/>
        <d v="2025-09-18T00:00:00"/>
        <d v="2025-09-19T00:00:00"/>
        <d v="2025-09-21T00:00:00"/>
        <d v="2025-09-24T00:00:00"/>
        <d v="2025-09-27T00:00:00"/>
        <d v="2025-09-29T00:00:00"/>
        <d v="2025-10-04T00:00:00"/>
        <d v="2025-10-05T00:00:00"/>
        <d v="2025-10-07T00:00:00"/>
        <d v="2025-10-11T00:00:00"/>
        <d v="2025-10-12T00:00:00"/>
        <d v="2025-10-13T00:00:00"/>
        <d v="2025-10-15T00:00:00"/>
        <d v="2025-10-19T00:00:00"/>
        <d v="2025-10-20T00:00:00"/>
        <d v="2025-10-21T00:00:00"/>
        <d v="2025-10-27T00:00:00"/>
        <d v="2025-10-28T00:00:00"/>
        <d v="2025-10-29T00:00:00"/>
        <d v="2025-11-01T00:00:00"/>
        <d v="2025-11-02T00:00:00"/>
        <d v="2025-11-05T00:00:00"/>
        <d v="2025-11-07T00:00:00"/>
        <d v="2025-11-09T00:00:00"/>
        <d v="2025-11-10T00:00:00"/>
        <d v="2025-11-11T00:00:00"/>
        <d v="2025-11-12T00:00:00"/>
        <d v="2025-11-13T00:00:00"/>
        <d v="2025-11-16T00:00:00"/>
        <d v="2025-11-19T00:00:00"/>
        <d v="2025-11-22T00:00:00"/>
        <d v="2025-11-26T00:00:00"/>
        <d v="2025-11-30T00:00:00"/>
        <d v="2025-12-01T00:00:00"/>
        <d v="2025-12-02T00:00:00"/>
        <d v="2025-12-05T00:00:00"/>
        <d v="2025-12-07T00:00:00"/>
        <d v="2025-12-08T00:00:00"/>
        <d v="2025-12-09T00:00:00"/>
        <d v="2025-12-14T00:00:00"/>
        <d v="2025-12-15T00:00:00"/>
        <d v="2025-12-18T00:00:00"/>
        <d v="2025-12-19T00:00:00"/>
        <d v="2025-12-21T00:00:00"/>
        <d v="2025-12-22T00:00:00"/>
        <d v="2025-12-23T00:00:00"/>
        <d v="2025-12-25T00:00:00"/>
        <d v="2025-12-29T00:00:00"/>
        <d v="2025-12-30T00:00:00"/>
        <d v="2025-12-31T00:00:00"/>
      </sharedItems>
      <fieldGroup par="12"/>
    </cacheField>
    <cacheField name="Region" numFmtId="0">
      <sharedItems count="4">
        <s v="North"/>
        <s v="East"/>
        <s v="South"/>
        <s v="West"/>
      </sharedItems>
    </cacheField>
    <cacheField name="Category" numFmtId="0">
      <sharedItems count="4">
        <s v="Home &amp; Kitchen"/>
        <s v="Office Supplies"/>
        <s v="Electronics"/>
        <s v="Fashion"/>
      </sharedItems>
    </cacheField>
    <cacheField name="Product" numFmtId="0">
      <sharedItems count="20">
        <s v="Mixer Grinder"/>
        <s v="Printer"/>
        <s v="Keyboard"/>
        <s v="Smartwatch"/>
        <s v="Notebook Pack"/>
        <s v="Jeans"/>
        <s v="Air Fryer"/>
        <s v="Laptop"/>
        <s v="Vacuum Cleaner"/>
        <s v="Desk Lamp"/>
        <s v="Backpack"/>
        <s v="Sports Shoes"/>
        <s v="Coffee Maker"/>
        <s v="T-Shirt"/>
        <s v="Office Chair"/>
        <s v="Headphones"/>
        <s v="Tablet"/>
        <s v="Electric Kettle"/>
        <s v="Smartphone"/>
        <s v="Jacket"/>
      </sharedItems>
    </cacheField>
    <cacheField name="Customer" numFmtId="0">
      <sharedItems/>
    </cacheField>
    <cacheField name="Quantity" numFmtId="0">
      <sharedItems containsSemiMixedTypes="0" containsString="0" containsNumber="1" containsInteger="1" minValue="1" maxValue="7"/>
    </cacheField>
    <cacheField name="Unit_Price" numFmtId="166">
      <sharedItems containsSemiMixedTypes="0" containsString="0" containsNumber="1" minValue="460.91" maxValue="70063.62"/>
    </cacheField>
    <cacheField name="Discount" numFmtId="9">
      <sharedItems containsSemiMixedTypes="0" containsString="0" containsNumber="1" minValue="0" maxValue="0.15"/>
    </cacheField>
    <cacheField name="Sales" numFmtId="166">
      <sharedItems containsSemiMixedTypes="0" containsString="0" containsNumber="1" minValue="516.91" maxValue="486793.94"/>
    </cacheField>
    <cacheField name="Revenue" numFmtId="166">
      <sharedItems containsSemiMixedTypes="0" containsString="0" containsNumber="1" minValue="465.22" maxValue="486793.94"/>
    </cacheField>
    <cacheField name="Days (Order_Date)" numFmtId="0" databaseField="0">
      <fieldGroup base="1">
        <rangePr groupBy="days" startDate="2025-01-01T00:00:00" endDate="2026-01-01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6"/>
        </groupItems>
      </fieldGroup>
    </cacheField>
    <cacheField name="Months (Order_Date)" numFmtId="0" databaseField="0">
      <fieldGroup base="1">
        <rangePr groupBy="months" startDate="2025-01-01T00:00:00" endDate="2026-01-01T00:00:00"/>
        <groupItems count="14">
          <s v="&lt;01-01-2025"/>
          <s v="Jan"/>
          <s v="Feb"/>
          <s v="Mar"/>
          <s v="Apr"/>
          <s v="May"/>
          <s v="Jun"/>
          <s v="Jul"/>
          <s v="Aug"/>
          <s v="Sep"/>
          <s v="Oct"/>
          <s v="Nov"/>
          <s v="Dec"/>
          <s v="&gt;01-01-2026"/>
        </groupItems>
      </fieldGroup>
    </cacheField>
  </cacheFields>
  <extLst>
    <ext xmlns:x14="http://schemas.microsoft.com/office/spreadsheetml/2009/9/main" uri="{725AE2AE-9491-48be-B2B4-4EB974FC3084}">
      <x14:pivotCacheDefinition pivotCacheId="156616713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s v="ORD0250"/>
    <x v="0"/>
    <x v="0"/>
    <x v="0"/>
    <x v="0"/>
    <s v="Customer 064"/>
    <n v="1"/>
    <n v="4463.59"/>
    <n v="0.05"/>
    <n v="4463.59"/>
    <n v="4240.41"/>
  </r>
  <r>
    <s v="ORD0056"/>
    <x v="0"/>
    <x v="1"/>
    <x v="1"/>
    <x v="1"/>
    <s v="Customer 034"/>
    <n v="4"/>
    <n v="11825.19"/>
    <n v="0"/>
    <n v="47300.76"/>
    <n v="47300.76"/>
  </r>
  <r>
    <s v="ORD0214"/>
    <x v="1"/>
    <x v="0"/>
    <x v="1"/>
    <x v="2"/>
    <s v="Customer 011"/>
    <n v="4"/>
    <n v="1871.9"/>
    <n v="0"/>
    <n v="7487.6"/>
    <n v="7487.6"/>
  </r>
  <r>
    <s v="ORD0076"/>
    <x v="2"/>
    <x v="2"/>
    <x v="1"/>
    <x v="2"/>
    <s v="Customer 058"/>
    <n v="3"/>
    <n v="1859.28"/>
    <n v="0.15"/>
    <n v="5577.84"/>
    <n v="4741.16"/>
  </r>
  <r>
    <s v="ORD0034"/>
    <x v="2"/>
    <x v="0"/>
    <x v="2"/>
    <x v="3"/>
    <s v="Customer 099"/>
    <n v="5"/>
    <n v="6916.43"/>
    <n v="0.05"/>
    <n v="34582.17"/>
    <n v="32853.07"/>
  </r>
  <r>
    <s v="ORD0235"/>
    <x v="3"/>
    <x v="1"/>
    <x v="1"/>
    <x v="4"/>
    <s v="Customer 012"/>
    <n v="7"/>
    <n v="502.11"/>
    <n v="0.1"/>
    <n v="3514.79"/>
    <n v="3163.31"/>
  </r>
  <r>
    <s v="ORD0212"/>
    <x v="3"/>
    <x v="2"/>
    <x v="3"/>
    <x v="5"/>
    <s v="Customer 017"/>
    <n v="2"/>
    <n v="1928.82"/>
    <n v="0"/>
    <n v="3857.64"/>
    <n v="3857.64"/>
  </r>
  <r>
    <s v="ORD0086"/>
    <x v="3"/>
    <x v="2"/>
    <x v="1"/>
    <x v="1"/>
    <s v="Customer 096"/>
    <n v="5"/>
    <n v="12378.1"/>
    <n v="0.05"/>
    <n v="61890.48"/>
    <n v="58795.96"/>
  </r>
  <r>
    <s v="ORD0125"/>
    <x v="4"/>
    <x v="3"/>
    <x v="0"/>
    <x v="6"/>
    <s v="Customer 002"/>
    <n v="5"/>
    <n v="6510.98"/>
    <n v="0.15"/>
    <n v="32554.9"/>
    <n v="27671.66"/>
  </r>
  <r>
    <s v="ORD0246"/>
    <x v="5"/>
    <x v="3"/>
    <x v="2"/>
    <x v="7"/>
    <s v="Customer 089"/>
    <n v="6"/>
    <n v="60812.89"/>
    <n v="0.05"/>
    <n v="364877.35"/>
    <n v="346633.48"/>
  </r>
  <r>
    <s v="ORD0178"/>
    <x v="6"/>
    <x v="2"/>
    <x v="1"/>
    <x v="2"/>
    <s v="Customer 057"/>
    <n v="4"/>
    <n v="1888.54"/>
    <n v="0.15"/>
    <n v="7554.16"/>
    <n v="6421.04"/>
  </r>
  <r>
    <s v="ORD0152"/>
    <x v="7"/>
    <x v="2"/>
    <x v="0"/>
    <x v="8"/>
    <s v="Customer 001"/>
    <n v="1"/>
    <n v="8332.6299999999992"/>
    <n v="0.05"/>
    <n v="8332.6299999999992"/>
    <n v="7916"/>
  </r>
  <r>
    <s v="ORD0001"/>
    <x v="8"/>
    <x v="1"/>
    <x v="1"/>
    <x v="9"/>
    <s v="Customer 083"/>
    <n v="5"/>
    <n v="1708.83"/>
    <n v="0.1"/>
    <n v="8544.15"/>
    <n v="7689.73"/>
  </r>
  <r>
    <s v="ORD0039"/>
    <x v="9"/>
    <x v="2"/>
    <x v="3"/>
    <x v="10"/>
    <s v="Customer 030"/>
    <n v="4"/>
    <n v="1802.54"/>
    <n v="0.05"/>
    <n v="7210.15"/>
    <n v="6849.65"/>
  </r>
  <r>
    <s v="ORD0240"/>
    <x v="10"/>
    <x v="3"/>
    <x v="3"/>
    <x v="10"/>
    <s v="Customer 037"/>
    <n v="6"/>
    <n v="1932.7"/>
    <n v="0.05"/>
    <n v="11596.23"/>
    <n v="11016.42"/>
  </r>
  <r>
    <s v="ORD0114"/>
    <x v="11"/>
    <x v="0"/>
    <x v="2"/>
    <x v="7"/>
    <s v="Customer 013"/>
    <n v="7"/>
    <n v="60727.73"/>
    <n v="0.05"/>
    <n v="425094.08"/>
    <n v="403839.37"/>
  </r>
  <r>
    <s v="ORD0176"/>
    <x v="11"/>
    <x v="1"/>
    <x v="2"/>
    <x v="7"/>
    <s v="Customer 035"/>
    <n v="1"/>
    <n v="67131.23"/>
    <n v="0.05"/>
    <n v="67131.23"/>
    <n v="63774.66"/>
  </r>
  <r>
    <s v="ORD0181"/>
    <x v="12"/>
    <x v="1"/>
    <x v="2"/>
    <x v="3"/>
    <s v="Customer 032"/>
    <n v="7"/>
    <n v="6700.9"/>
    <n v="0"/>
    <n v="46906.32"/>
    <n v="46906.32"/>
  </r>
  <r>
    <s v="ORD0217"/>
    <x v="13"/>
    <x v="1"/>
    <x v="3"/>
    <x v="11"/>
    <s v="Customer 081"/>
    <n v="7"/>
    <n v="4321.3"/>
    <n v="0.1"/>
    <n v="30249.07"/>
    <n v="27224.16"/>
  </r>
  <r>
    <s v="ORD0113"/>
    <x v="14"/>
    <x v="2"/>
    <x v="0"/>
    <x v="12"/>
    <s v="Customer 039"/>
    <n v="3"/>
    <n v="5273.37"/>
    <n v="0"/>
    <n v="15820.12"/>
    <n v="15820.12"/>
  </r>
  <r>
    <s v="ORD0247"/>
    <x v="14"/>
    <x v="2"/>
    <x v="3"/>
    <x v="11"/>
    <s v="Customer 035"/>
    <n v="7"/>
    <n v="3973.89"/>
    <n v="0.05"/>
    <n v="27817.22"/>
    <n v="26426.36"/>
  </r>
  <r>
    <s v="ORD0201"/>
    <x v="15"/>
    <x v="3"/>
    <x v="3"/>
    <x v="13"/>
    <s v="Customer 048"/>
    <n v="5"/>
    <n v="835.02"/>
    <n v="0.05"/>
    <n v="4175.12"/>
    <n v="3966.37"/>
  </r>
  <r>
    <s v="ORD0139"/>
    <x v="16"/>
    <x v="2"/>
    <x v="1"/>
    <x v="2"/>
    <s v="Customer 072"/>
    <n v="4"/>
    <n v="1708.3"/>
    <n v="0.15"/>
    <n v="6833.2"/>
    <n v="5808.22"/>
  </r>
  <r>
    <s v="ORD0126"/>
    <x v="16"/>
    <x v="1"/>
    <x v="3"/>
    <x v="10"/>
    <s v="Customer 035"/>
    <n v="7"/>
    <n v="1852.27"/>
    <n v="0.1"/>
    <n v="12965.91"/>
    <n v="11669.32"/>
  </r>
  <r>
    <s v="ORD0047"/>
    <x v="17"/>
    <x v="0"/>
    <x v="0"/>
    <x v="0"/>
    <s v="Customer 042"/>
    <n v="1"/>
    <n v="4238.37"/>
    <n v="0.1"/>
    <n v="4238.37"/>
    <n v="3814.53"/>
  </r>
  <r>
    <s v="ORD0207"/>
    <x v="17"/>
    <x v="1"/>
    <x v="1"/>
    <x v="14"/>
    <s v="Customer 082"/>
    <n v="2"/>
    <n v="8935.1299999999992"/>
    <n v="0"/>
    <n v="17870.259999999998"/>
    <n v="17870.259999999998"/>
  </r>
  <r>
    <s v="ORD0188"/>
    <x v="17"/>
    <x v="2"/>
    <x v="1"/>
    <x v="2"/>
    <s v="Customer 029"/>
    <n v="5"/>
    <n v="1766.58"/>
    <n v="0.15"/>
    <n v="8832.91"/>
    <n v="7507.97"/>
  </r>
  <r>
    <s v="ORD0203"/>
    <x v="18"/>
    <x v="1"/>
    <x v="2"/>
    <x v="15"/>
    <s v="Customer 077"/>
    <n v="2"/>
    <n v="2528.5300000000002"/>
    <n v="0.1"/>
    <n v="5057.0600000000004"/>
    <n v="4551.3500000000004"/>
  </r>
  <r>
    <s v="ORD0011"/>
    <x v="19"/>
    <x v="0"/>
    <x v="3"/>
    <x v="11"/>
    <s v="Customer 015"/>
    <n v="1"/>
    <n v="4052.79"/>
    <n v="0.05"/>
    <n v="4052.79"/>
    <n v="3850.15"/>
  </r>
  <r>
    <s v="ORD0133"/>
    <x v="20"/>
    <x v="3"/>
    <x v="1"/>
    <x v="4"/>
    <s v="Customer 015"/>
    <n v="6"/>
    <n v="535.19000000000005"/>
    <n v="0.05"/>
    <n v="3211.12"/>
    <n v="3050.56"/>
  </r>
  <r>
    <s v="ORD0020"/>
    <x v="21"/>
    <x v="3"/>
    <x v="0"/>
    <x v="0"/>
    <s v="Customer 030"/>
    <n v="5"/>
    <n v="4767.45"/>
    <n v="0.1"/>
    <n v="23837.26"/>
    <n v="21453.53"/>
  </r>
  <r>
    <s v="ORD0137"/>
    <x v="22"/>
    <x v="3"/>
    <x v="2"/>
    <x v="3"/>
    <s v="Customer 076"/>
    <n v="7"/>
    <n v="6809.19"/>
    <n v="0"/>
    <n v="47664.31"/>
    <n v="47664.31"/>
  </r>
  <r>
    <s v="ORD0053"/>
    <x v="22"/>
    <x v="1"/>
    <x v="1"/>
    <x v="9"/>
    <s v="Customer 055"/>
    <n v="6"/>
    <n v="1670.88"/>
    <n v="0.05"/>
    <n v="10025.31"/>
    <n v="9524.0400000000009"/>
  </r>
  <r>
    <s v="ORD0149"/>
    <x v="23"/>
    <x v="1"/>
    <x v="1"/>
    <x v="4"/>
    <s v="Customer 081"/>
    <n v="6"/>
    <n v="477.61"/>
    <n v="0"/>
    <n v="2865.65"/>
    <n v="2865.65"/>
  </r>
  <r>
    <s v="ORD0241"/>
    <x v="24"/>
    <x v="0"/>
    <x v="3"/>
    <x v="5"/>
    <s v="Customer 051"/>
    <n v="4"/>
    <n v="1877.1"/>
    <n v="0.05"/>
    <n v="7508.42"/>
    <n v="7133"/>
  </r>
  <r>
    <s v="ORD0142"/>
    <x v="25"/>
    <x v="0"/>
    <x v="2"/>
    <x v="16"/>
    <s v="Customer 078"/>
    <n v="7"/>
    <n v="20776.939999999999"/>
    <n v="0.05"/>
    <n v="145438.56"/>
    <n v="138166.63"/>
  </r>
  <r>
    <s v="ORD0193"/>
    <x v="26"/>
    <x v="3"/>
    <x v="3"/>
    <x v="13"/>
    <s v="Customer 059"/>
    <n v="6"/>
    <n v="916.33"/>
    <n v="0"/>
    <n v="5497.99"/>
    <n v="5497.99"/>
  </r>
  <r>
    <s v="ORD0008"/>
    <x v="27"/>
    <x v="2"/>
    <x v="0"/>
    <x v="0"/>
    <s v="Customer 004"/>
    <n v="4"/>
    <n v="4271.21"/>
    <n v="0.1"/>
    <n v="17084.84"/>
    <n v="15376.36"/>
  </r>
  <r>
    <s v="ORD0154"/>
    <x v="28"/>
    <x v="1"/>
    <x v="0"/>
    <x v="12"/>
    <s v="Customer 003"/>
    <n v="7"/>
    <n v="5150.62"/>
    <n v="0"/>
    <n v="36054.370000000003"/>
    <n v="36054.370000000003"/>
  </r>
  <r>
    <s v="ORD0144"/>
    <x v="28"/>
    <x v="1"/>
    <x v="0"/>
    <x v="17"/>
    <s v="Customer 040"/>
    <n v="6"/>
    <n v="2318.8000000000002"/>
    <n v="0"/>
    <n v="13912.78"/>
    <n v="13912.78"/>
  </r>
  <r>
    <s v="ORD0109"/>
    <x v="29"/>
    <x v="2"/>
    <x v="2"/>
    <x v="18"/>
    <s v="Customer 063"/>
    <n v="1"/>
    <n v="27915.53"/>
    <n v="0.1"/>
    <n v="27915.53"/>
    <n v="25123.98"/>
  </r>
  <r>
    <s v="ORD0081"/>
    <x v="30"/>
    <x v="3"/>
    <x v="1"/>
    <x v="4"/>
    <s v="Customer 092"/>
    <n v="5"/>
    <n v="460.91"/>
    <n v="0.05"/>
    <n v="2304.54"/>
    <n v="2189.31"/>
  </r>
  <r>
    <s v="ORD0219"/>
    <x v="30"/>
    <x v="3"/>
    <x v="0"/>
    <x v="12"/>
    <s v="Customer 038"/>
    <n v="1"/>
    <n v="5449.22"/>
    <n v="0"/>
    <n v="5449.22"/>
    <n v="5449.22"/>
  </r>
  <r>
    <s v="ORD0238"/>
    <x v="31"/>
    <x v="1"/>
    <x v="0"/>
    <x v="12"/>
    <s v="Customer 028"/>
    <n v="6"/>
    <n v="5352.44"/>
    <n v="0.05"/>
    <n v="32114.62"/>
    <n v="30508.89"/>
  </r>
  <r>
    <s v="ORD0052"/>
    <x v="32"/>
    <x v="3"/>
    <x v="1"/>
    <x v="4"/>
    <s v="Customer 005"/>
    <n v="4"/>
    <n v="486.13"/>
    <n v="0.1"/>
    <n v="1944.53"/>
    <n v="1750.08"/>
  </r>
  <r>
    <s v="ORD0033"/>
    <x v="32"/>
    <x v="0"/>
    <x v="0"/>
    <x v="12"/>
    <s v="Customer 002"/>
    <n v="7"/>
    <n v="5640.79"/>
    <n v="0.1"/>
    <n v="39485.5"/>
    <n v="35536.949999999997"/>
  </r>
  <r>
    <s v="ORD0196"/>
    <x v="33"/>
    <x v="1"/>
    <x v="0"/>
    <x v="0"/>
    <s v="Customer 035"/>
    <n v="1"/>
    <n v="4807.9799999999996"/>
    <n v="0.15"/>
    <n v="4807.9799999999996"/>
    <n v="4086.78"/>
  </r>
  <r>
    <s v="ORD0014"/>
    <x v="34"/>
    <x v="3"/>
    <x v="3"/>
    <x v="10"/>
    <s v="Customer 037"/>
    <n v="4"/>
    <n v="1751.3"/>
    <n v="0"/>
    <n v="7005.19"/>
    <n v="7005.19"/>
  </r>
  <r>
    <s v="ORD0150"/>
    <x v="35"/>
    <x v="0"/>
    <x v="3"/>
    <x v="10"/>
    <s v="Customer 049"/>
    <n v="1"/>
    <n v="1816.5"/>
    <n v="0.1"/>
    <n v="1816.5"/>
    <n v="1634.85"/>
  </r>
  <r>
    <s v="ORD0225"/>
    <x v="36"/>
    <x v="0"/>
    <x v="1"/>
    <x v="2"/>
    <s v="Customer 081"/>
    <n v="5"/>
    <n v="1826"/>
    <n v="0.05"/>
    <n v="9129.98"/>
    <n v="8673.48"/>
  </r>
  <r>
    <s v="ORD0064"/>
    <x v="37"/>
    <x v="0"/>
    <x v="2"/>
    <x v="16"/>
    <s v="Customer 040"/>
    <n v="3"/>
    <n v="23128.65"/>
    <n v="0.05"/>
    <n v="69385.95"/>
    <n v="65916.66"/>
  </r>
  <r>
    <s v="ORD0019"/>
    <x v="38"/>
    <x v="2"/>
    <x v="3"/>
    <x v="19"/>
    <s v="Customer 045"/>
    <n v="7"/>
    <n v="3382.26"/>
    <n v="0"/>
    <n v="23675.83"/>
    <n v="23675.83"/>
  </r>
  <r>
    <s v="ORD0073"/>
    <x v="39"/>
    <x v="1"/>
    <x v="3"/>
    <x v="5"/>
    <s v="Customer 012"/>
    <n v="3"/>
    <n v="1797.99"/>
    <n v="0"/>
    <n v="5393.97"/>
    <n v="5393.97"/>
  </r>
  <r>
    <s v="ORD0118"/>
    <x v="40"/>
    <x v="1"/>
    <x v="2"/>
    <x v="7"/>
    <s v="Customer 004"/>
    <n v="1"/>
    <n v="59878.36"/>
    <n v="0"/>
    <n v="59878.36"/>
    <n v="59878.36"/>
  </r>
  <r>
    <s v="ORD0175"/>
    <x v="41"/>
    <x v="0"/>
    <x v="0"/>
    <x v="12"/>
    <s v="Customer 040"/>
    <n v="5"/>
    <n v="5196.1099999999997"/>
    <n v="0.05"/>
    <n v="25980.560000000001"/>
    <n v="24681.53"/>
  </r>
  <r>
    <s v="ORD0067"/>
    <x v="42"/>
    <x v="0"/>
    <x v="1"/>
    <x v="1"/>
    <s v="Customer 036"/>
    <n v="7"/>
    <n v="11266.88"/>
    <n v="0.1"/>
    <n v="78868.14"/>
    <n v="70981.320000000007"/>
  </r>
  <r>
    <s v="ORD0228"/>
    <x v="43"/>
    <x v="2"/>
    <x v="3"/>
    <x v="10"/>
    <s v="Customer 086"/>
    <n v="1"/>
    <n v="1685.6"/>
    <n v="0.05"/>
    <n v="1685.6"/>
    <n v="1601.32"/>
  </r>
  <r>
    <s v="ORD0116"/>
    <x v="44"/>
    <x v="2"/>
    <x v="1"/>
    <x v="14"/>
    <s v="Customer 041"/>
    <n v="7"/>
    <n v="8833.7999999999993"/>
    <n v="0.05"/>
    <n v="61836.58"/>
    <n v="58744.75"/>
  </r>
  <r>
    <s v="ORD0095"/>
    <x v="45"/>
    <x v="2"/>
    <x v="2"/>
    <x v="16"/>
    <s v="Customer 073"/>
    <n v="5"/>
    <n v="22904.93"/>
    <n v="0.05"/>
    <n v="114524.63"/>
    <n v="108798.39999999999"/>
  </r>
  <r>
    <s v="ORD0058"/>
    <x v="46"/>
    <x v="0"/>
    <x v="0"/>
    <x v="8"/>
    <s v="Customer 029"/>
    <n v="7"/>
    <n v="8348.7099999999991"/>
    <n v="0.05"/>
    <n v="58440.98"/>
    <n v="55518.93"/>
  </r>
  <r>
    <s v="ORD0155"/>
    <x v="47"/>
    <x v="1"/>
    <x v="3"/>
    <x v="11"/>
    <s v="Customer 092"/>
    <n v="2"/>
    <n v="4467.07"/>
    <n v="0.05"/>
    <n v="8934.15"/>
    <n v="8487.44"/>
  </r>
  <r>
    <s v="ORD0168"/>
    <x v="47"/>
    <x v="0"/>
    <x v="0"/>
    <x v="0"/>
    <s v="Customer 086"/>
    <n v="5"/>
    <n v="4609.0200000000004"/>
    <n v="0.1"/>
    <n v="23045.11"/>
    <n v="20740.599999999999"/>
  </r>
  <r>
    <s v="ORD0123"/>
    <x v="48"/>
    <x v="2"/>
    <x v="3"/>
    <x v="10"/>
    <s v="Customer 064"/>
    <n v="4"/>
    <n v="1725.81"/>
    <n v="0"/>
    <n v="6903.26"/>
    <n v="6903.26"/>
  </r>
  <r>
    <s v="ORD0066"/>
    <x v="48"/>
    <x v="2"/>
    <x v="1"/>
    <x v="1"/>
    <s v="Customer 034"/>
    <n v="2"/>
    <n v="11652.43"/>
    <n v="0.1"/>
    <n v="23304.87"/>
    <n v="20974.38"/>
  </r>
  <r>
    <s v="ORD0204"/>
    <x v="49"/>
    <x v="0"/>
    <x v="2"/>
    <x v="7"/>
    <s v="Customer 059"/>
    <n v="6"/>
    <n v="65221.11"/>
    <n v="0.1"/>
    <n v="391326.64"/>
    <n v="352193.98"/>
  </r>
  <r>
    <s v="ORD0249"/>
    <x v="50"/>
    <x v="2"/>
    <x v="1"/>
    <x v="4"/>
    <s v="Customer 076"/>
    <n v="2"/>
    <n v="465.88"/>
    <n v="0"/>
    <n v="931.76"/>
    <n v="931.76"/>
  </r>
  <r>
    <s v="ORD0226"/>
    <x v="51"/>
    <x v="2"/>
    <x v="3"/>
    <x v="19"/>
    <s v="Customer 032"/>
    <n v="2"/>
    <n v="3601.06"/>
    <n v="0.05"/>
    <n v="7202.11"/>
    <n v="6842.01"/>
  </r>
  <r>
    <s v="ORD0158"/>
    <x v="52"/>
    <x v="3"/>
    <x v="1"/>
    <x v="1"/>
    <s v="Customer 078"/>
    <n v="4"/>
    <n v="11497.31"/>
    <n v="0"/>
    <n v="45989.24"/>
    <n v="45989.24"/>
  </r>
  <r>
    <s v="ORD0169"/>
    <x v="53"/>
    <x v="3"/>
    <x v="2"/>
    <x v="15"/>
    <s v="Customer 053"/>
    <n v="1"/>
    <n v="2406.6"/>
    <n v="0.1"/>
    <n v="2406.6"/>
    <n v="2165.94"/>
  </r>
  <r>
    <s v="ORD0036"/>
    <x v="54"/>
    <x v="0"/>
    <x v="3"/>
    <x v="5"/>
    <s v="Customer 093"/>
    <n v="6"/>
    <n v="1658.65"/>
    <n v="0"/>
    <n v="9951.89"/>
    <n v="9951.89"/>
  </r>
  <r>
    <s v="ORD0015"/>
    <x v="55"/>
    <x v="1"/>
    <x v="1"/>
    <x v="9"/>
    <s v="Customer 078"/>
    <n v="6"/>
    <n v="1911.52"/>
    <n v="0.05"/>
    <n v="11469.1"/>
    <n v="10895.65"/>
  </r>
  <r>
    <s v="ORD0143"/>
    <x v="55"/>
    <x v="0"/>
    <x v="3"/>
    <x v="10"/>
    <s v="Customer 090"/>
    <n v="6"/>
    <n v="1918.28"/>
    <n v="0"/>
    <n v="11509.67"/>
    <n v="11509.67"/>
  </r>
  <r>
    <s v="ORD0177"/>
    <x v="56"/>
    <x v="2"/>
    <x v="1"/>
    <x v="14"/>
    <s v="Customer 012"/>
    <n v="5"/>
    <n v="7823.18"/>
    <n v="0.15"/>
    <n v="39115.910000000003"/>
    <n v="33248.519999999997"/>
  </r>
  <r>
    <s v="ORD0099"/>
    <x v="57"/>
    <x v="2"/>
    <x v="1"/>
    <x v="2"/>
    <s v="Customer 064"/>
    <n v="5"/>
    <n v="1840.14"/>
    <n v="0.1"/>
    <n v="9200.68"/>
    <n v="8280.61"/>
  </r>
  <r>
    <s v="ORD0140"/>
    <x v="58"/>
    <x v="2"/>
    <x v="1"/>
    <x v="14"/>
    <s v="Customer 082"/>
    <n v="6"/>
    <n v="8656.33"/>
    <n v="0.15"/>
    <n v="51937.99"/>
    <n v="44147.3"/>
  </r>
  <r>
    <s v="ORD0093"/>
    <x v="59"/>
    <x v="1"/>
    <x v="2"/>
    <x v="15"/>
    <s v="Customer 001"/>
    <n v="3"/>
    <n v="2527.63"/>
    <n v="0"/>
    <n v="7582.9"/>
    <n v="7582.9"/>
  </r>
  <r>
    <s v="ORD0231"/>
    <x v="60"/>
    <x v="1"/>
    <x v="0"/>
    <x v="6"/>
    <s v="Customer 044"/>
    <n v="6"/>
    <n v="7216.38"/>
    <n v="0.1"/>
    <n v="43298.26"/>
    <n v="38968.44"/>
  </r>
  <r>
    <s v="ORD0166"/>
    <x v="61"/>
    <x v="2"/>
    <x v="0"/>
    <x v="12"/>
    <s v="Customer 087"/>
    <n v="6"/>
    <n v="5926.27"/>
    <n v="0.05"/>
    <n v="35557.64"/>
    <n v="33779.760000000002"/>
  </r>
  <r>
    <s v="ORD0098"/>
    <x v="62"/>
    <x v="1"/>
    <x v="0"/>
    <x v="17"/>
    <s v="Customer 047"/>
    <n v="5"/>
    <n v="2055.12"/>
    <n v="0.1"/>
    <n v="10275.6"/>
    <n v="9248.0400000000009"/>
  </r>
  <r>
    <s v="ORD0160"/>
    <x v="62"/>
    <x v="0"/>
    <x v="0"/>
    <x v="6"/>
    <s v="Customer 019"/>
    <n v="7"/>
    <n v="7264.21"/>
    <n v="0.1"/>
    <n v="50849.49"/>
    <n v="45764.54"/>
  </r>
  <r>
    <s v="ORD0110"/>
    <x v="63"/>
    <x v="1"/>
    <x v="3"/>
    <x v="19"/>
    <s v="Customer 052"/>
    <n v="1"/>
    <n v="3375.05"/>
    <n v="0.1"/>
    <n v="3375.05"/>
    <n v="3037.55"/>
  </r>
  <r>
    <s v="ORD0172"/>
    <x v="63"/>
    <x v="1"/>
    <x v="2"/>
    <x v="16"/>
    <s v="Customer 039"/>
    <n v="3"/>
    <n v="21256.2"/>
    <n v="0.05"/>
    <n v="63768.61"/>
    <n v="60580.18"/>
  </r>
  <r>
    <s v="ORD0025"/>
    <x v="63"/>
    <x v="0"/>
    <x v="2"/>
    <x v="18"/>
    <s v="Customer 056"/>
    <n v="4"/>
    <n v="26866"/>
    <n v="0.1"/>
    <n v="107464.02"/>
    <n v="96717.62"/>
  </r>
  <r>
    <s v="ORD0153"/>
    <x v="63"/>
    <x v="2"/>
    <x v="0"/>
    <x v="12"/>
    <s v="Customer 094"/>
    <n v="7"/>
    <n v="5524.33"/>
    <n v="0.05"/>
    <n v="38670.31"/>
    <n v="36736.79"/>
  </r>
  <r>
    <s v="ORD0035"/>
    <x v="64"/>
    <x v="1"/>
    <x v="1"/>
    <x v="4"/>
    <s v="Customer 072"/>
    <n v="4"/>
    <n v="530.97"/>
    <n v="0.1"/>
    <n v="2123.87"/>
    <n v="1911.48"/>
  </r>
  <r>
    <s v="ORD0055"/>
    <x v="65"/>
    <x v="2"/>
    <x v="1"/>
    <x v="9"/>
    <s v="Customer 023"/>
    <n v="2"/>
    <n v="1678.6"/>
    <n v="0"/>
    <n v="3357.19"/>
    <n v="3357.19"/>
  </r>
  <r>
    <s v="ORD0122"/>
    <x v="66"/>
    <x v="3"/>
    <x v="3"/>
    <x v="11"/>
    <s v="Customer 019"/>
    <n v="3"/>
    <n v="4427.53"/>
    <n v="0"/>
    <n v="13282.58"/>
    <n v="13282.58"/>
  </r>
  <r>
    <s v="ORD0091"/>
    <x v="67"/>
    <x v="3"/>
    <x v="0"/>
    <x v="6"/>
    <s v="Customer 033"/>
    <n v="6"/>
    <n v="7409.99"/>
    <n v="0"/>
    <n v="44459.95"/>
    <n v="44459.95"/>
  </r>
  <r>
    <s v="ORD0075"/>
    <x v="68"/>
    <x v="0"/>
    <x v="2"/>
    <x v="16"/>
    <s v="Customer 035"/>
    <n v="2"/>
    <n v="23669.35"/>
    <n v="0.15"/>
    <n v="47338.71"/>
    <n v="40237.9"/>
  </r>
  <r>
    <s v="ORD0106"/>
    <x v="68"/>
    <x v="1"/>
    <x v="3"/>
    <x v="13"/>
    <s v="Customer 019"/>
    <n v="3"/>
    <n v="924.13"/>
    <n v="0"/>
    <n v="2772.38"/>
    <n v="2772.38"/>
  </r>
  <r>
    <s v="ORD0200"/>
    <x v="69"/>
    <x v="1"/>
    <x v="2"/>
    <x v="7"/>
    <s v="Customer 038"/>
    <n v="5"/>
    <n v="67446.210000000006"/>
    <n v="0"/>
    <n v="337231.06"/>
    <n v="337231.06"/>
  </r>
  <r>
    <s v="ORD0131"/>
    <x v="70"/>
    <x v="2"/>
    <x v="2"/>
    <x v="18"/>
    <s v="Customer 097"/>
    <n v="7"/>
    <n v="28957.75"/>
    <n v="0.1"/>
    <n v="202704.22"/>
    <n v="182433.8"/>
  </r>
  <r>
    <s v="ORD0164"/>
    <x v="71"/>
    <x v="3"/>
    <x v="2"/>
    <x v="18"/>
    <s v="Customer 081"/>
    <n v="6"/>
    <n v="27943.69"/>
    <n v="0.1"/>
    <n v="167662.15"/>
    <n v="150895.94"/>
  </r>
  <r>
    <s v="ORD0005"/>
    <x v="72"/>
    <x v="0"/>
    <x v="3"/>
    <x v="13"/>
    <s v="Customer 051"/>
    <n v="4"/>
    <n v="902.05"/>
    <n v="0.05"/>
    <n v="3608.2"/>
    <n v="3427.79"/>
  </r>
  <r>
    <s v="ORD0130"/>
    <x v="73"/>
    <x v="0"/>
    <x v="2"/>
    <x v="16"/>
    <s v="Customer 042"/>
    <n v="3"/>
    <n v="22581.49"/>
    <n v="0.05"/>
    <n v="67744.479999999996"/>
    <n v="64357.26"/>
  </r>
  <r>
    <s v="ORD0079"/>
    <x v="73"/>
    <x v="3"/>
    <x v="0"/>
    <x v="17"/>
    <s v="Customer 070"/>
    <n v="1"/>
    <n v="2357.4299999999998"/>
    <n v="0.15"/>
    <n v="2357.4299999999998"/>
    <n v="2003.82"/>
  </r>
  <r>
    <s v="ORD0083"/>
    <x v="74"/>
    <x v="2"/>
    <x v="3"/>
    <x v="10"/>
    <s v="Customer 044"/>
    <n v="1"/>
    <n v="1906.16"/>
    <n v="0"/>
    <n v="1906.16"/>
    <n v="1906.16"/>
  </r>
  <r>
    <s v="ORD0038"/>
    <x v="75"/>
    <x v="1"/>
    <x v="3"/>
    <x v="10"/>
    <s v="Customer 017"/>
    <n v="6"/>
    <n v="1749.72"/>
    <n v="0.1"/>
    <n v="10498.29"/>
    <n v="9448.4599999999991"/>
  </r>
  <r>
    <s v="ORD0012"/>
    <x v="76"/>
    <x v="3"/>
    <x v="2"/>
    <x v="7"/>
    <s v="Customer 063"/>
    <n v="1"/>
    <n v="70063.62"/>
    <n v="0.1"/>
    <n v="70063.62"/>
    <n v="63057.26"/>
  </r>
  <r>
    <s v="ORD0102"/>
    <x v="77"/>
    <x v="3"/>
    <x v="1"/>
    <x v="14"/>
    <s v="Customer 017"/>
    <n v="3"/>
    <n v="8768.7900000000009"/>
    <n v="0.1"/>
    <n v="26306.38"/>
    <n v="23675.74"/>
  </r>
  <r>
    <s v="ORD0049"/>
    <x v="78"/>
    <x v="3"/>
    <x v="2"/>
    <x v="3"/>
    <s v="Customer 087"/>
    <n v="5"/>
    <n v="6182.04"/>
    <n v="0"/>
    <n v="30910.22"/>
    <n v="30910.22"/>
  </r>
  <r>
    <s v="ORD0018"/>
    <x v="79"/>
    <x v="1"/>
    <x v="2"/>
    <x v="3"/>
    <s v="Customer 029"/>
    <n v="6"/>
    <n v="6124.9"/>
    <n v="0.05"/>
    <n v="36749.43"/>
    <n v="34911.96"/>
  </r>
  <r>
    <s v="ORD0074"/>
    <x v="80"/>
    <x v="0"/>
    <x v="2"/>
    <x v="3"/>
    <s v="Customer 039"/>
    <n v="3"/>
    <n v="6201.24"/>
    <n v="0.15"/>
    <n v="18603.71"/>
    <n v="15813.15"/>
  </r>
  <r>
    <s v="ORD0221"/>
    <x v="81"/>
    <x v="0"/>
    <x v="1"/>
    <x v="9"/>
    <s v="Customer 053"/>
    <n v="3"/>
    <n v="1934.84"/>
    <n v="0"/>
    <n v="5804.52"/>
    <n v="5804.52"/>
  </r>
  <r>
    <s v="ORD0115"/>
    <x v="82"/>
    <x v="1"/>
    <x v="3"/>
    <x v="10"/>
    <s v="Customer 100"/>
    <n v="4"/>
    <n v="1758.27"/>
    <n v="0.05"/>
    <n v="7033.08"/>
    <n v="6681.43"/>
  </r>
  <r>
    <s v="ORD0054"/>
    <x v="83"/>
    <x v="0"/>
    <x v="3"/>
    <x v="5"/>
    <s v="Customer 063"/>
    <n v="5"/>
    <n v="1935.23"/>
    <n v="0.1"/>
    <n v="9676.1299999999992"/>
    <n v="8708.52"/>
  </r>
  <r>
    <s v="ORD0030"/>
    <x v="84"/>
    <x v="3"/>
    <x v="2"/>
    <x v="3"/>
    <s v="Customer 059"/>
    <n v="3"/>
    <n v="6173.98"/>
    <n v="0"/>
    <n v="18521.939999999999"/>
    <n v="18521.939999999999"/>
  </r>
  <r>
    <s v="ORD0032"/>
    <x v="85"/>
    <x v="1"/>
    <x v="2"/>
    <x v="7"/>
    <s v="Customer 094"/>
    <n v="7"/>
    <n v="69541.990000000005"/>
    <n v="0"/>
    <n v="486793.94"/>
    <n v="486793.94"/>
  </r>
  <r>
    <s v="ORD0069"/>
    <x v="85"/>
    <x v="2"/>
    <x v="1"/>
    <x v="9"/>
    <s v="Customer 096"/>
    <n v="2"/>
    <n v="1728"/>
    <n v="0.05"/>
    <n v="3456.01"/>
    <n v="3283.21"/>
  </r>
  <r>
    <s v="ORD0002"/>
    <x v="86"/>
    <x v="1"/>
    <x v="1"/>
    <x v="4"/>
    <s v="Customer 022"/>
    <n v="3"/>
    <n v="529.29"/>
    <n v="0.05"/>
    <n v="1587.88"/>
    <n v="1508.49"/>
  </r>
  <r>
    <s v="ORD0223"/>
    <x v="87"/>
    <x v="2"/>
    <x v="2"/>
    <x v="3"/>
    <s v="Customer 078"/>
    <n v="2"/>
    <n v="6621.32"/>
    <n v="0.1"/>
    <n v="13242.63"/>
    <n v="11918.37"/>
  </r>
  <r>
    <s v="ORD0230"/>
    <x v="88"/>
    <x v="2"/>
    <x v="2"/>
    <x v="7"/>
    <s v="Customer 066"/>
    <n v="5"/>
    <n v="60658.09"/>
    <n v="0.1"/>
    <n v="303290.44"/>
    <n v="272961.40000000002"/>
  </r>
  <r>
    <s v="ORD0046"/>
    <x v="89"/>
    <x v="2"/>
    <x v="3"/>
    <x v="11"/>
    <s v="Customer 002"/>
    <n v="7"/>
    <n v="4529.32"/>
    <n v="0"/>
    <n v="31705.21"/>
    <n v="31705.21"/>
  </r>
  <r>
    <s v="ORD0134"/>
    <x v="90"/>
    <x v="2"/>
    <x v="1"/>
    <x v="2"/>
    <s v="Customer 057"/>
    <n v="1"/>
    <n v="1809.64"/>
    <n v="0.1"/>
    <n v="1809.64"/>
    <n v="1628.67"/>
  </r>
  <r>
    <s v="ORD0042"/>
    <x v="91"/>
    <x v="0"/>
    <x v="3"/>
    <x v="13"/>
    <s v="Customer 046"/>
    <n v="1"/>
    <n v="834.28"/>
    <n v="0.15"/>
    <n v="834.28"/>
    <n v="709.14"/>
  </r>
  <r>
    <s v="ORD0184"/>
    <x v="92"/>
    <x v="3"/>
    <x v="1"/>
    <x v="14"/>
    <s v="Customer 099"/>
    <n v="3"/>
    <n v="8947.33"/>
    <n v="0"/>
    <n v="26841.98"/>
    <n v="26841.98"/>
  </r>
  <r>
    <s v="ORD0136"/>
    <x v="92"/>
    <x v="1"/>
    <x v="0"/>
    <x v="8"/>
    <s v="Customer 100"/>
    <n v="3"/>
    <n v="9366.67"/>
    <n v="0"/>
    <n v="28100.02"/>
    <n v="28100.02"/>
  </r>
  <r>
    <s v="ORD0148"/>
    <x v="93"/>
    <x v="0"/>
    <x v="0"/>
    <x v="0"/>
    <s v="Customer 029"/>
    <n v="7"/>
    <n v="4259.17"/>
    <n v="0"/>
    <n v="29814.19"/>
    <n v="29814.19"/>
  </r>
  <r>
    <s v="ORD0044"/>
    <x v="93"/>
    <x v="3"/>
    <x v="1"/>
    <x v="9"/>
    <s v="Customer 067"/>
    <n v="1"/>
    <n v="1677.7"/>
    <n v="0"/>
    <n v="1677.7"/>
    <n v="1677.7"/>
  </r>
  <r>
    <s v="ORD0063"/>
    <x v="94"/>
    <x v="3"/>
    <x v="2"/>
    <x v="3"/>
    <s v="Customer 033"/>
    <n v="3"/>
    <n v="6812.99"/>
    <n v="0.1"/>
    <n v="20438.96"/>
    <n v="18395.07"/>
  </r>
  <r>
    <s v="ORD0087"/>
    <x v="95"/>
    <x v="2"/>
    <x v="3"/>
    <x v="5"/>
    <s v="Customer 008"/>
    <n v="4"/>
    <n v="1752.67"/>
    <n v="0"/>
    <n v="7010.68"/>
    <n v="7010.68"/>
  </r>
  <r>
    <s v="ORD0248"/>
    <x v="95"/>
    <x v="0"/>
    <x v="2"/>
    <x v="16"/>
    <s v="Customer 023"/>
    <n v="7"/>
    <n v="22311.21"/>
    <n v="0.05"/>
    <n v="156178.49"/>
    <n v="148369.56"/>
  </r>
  <r>
    <s v="ORD0224"/>
    <x v="96"/>
    <x v="3"/>
    <x v="1"/>
    <x v="1"/>
    <s v="Customer 060"/>
    <n v="6"/>
    <n v="12356.29"/>
    <n v="0.05"/>
    <n v="74137.710000000006"/>
    <n v="70430.83"/>
  </r>
  <r>
    <s v="ORD0077"/>
    <x v="97"/>
    <x v="2"/>
    <x v="3"/>
    <x v="10"/>
    <s v="Customer 009"/>
    <n v="5"/>
    <n v="1897.48"/>
    <n v="0.05"/>
    <n v="9487.41"/>
    <n v="9013.0400000000009"/>
  </r>
  <r>
    <s v="ORD0037"/>
    <x v="98"/>
    <x v="3"/>
    <x v="0"/>
    <x v="6"/>
    <s v="Customer 033"/>
    <n v="2"/>
    <n v="7214.92"/>
    <n v="0.1"/>
    <n v="14429.85"/>
    <n v="12986.86"/>
  </r>
  <r>
    <s v="ORD0187"/>
    <x v="99"/>
    <x v="2"/>
    <x v="2"/>
    <x v="18"/>
    <s v="Customer 030"/>
    <n v="4"/>
    <n v="26803.66"/>
    <n v="0"/>
    <n v="107214.63"/>
    <n v="107214.63"/>
  </r>
  <r>
    <s v="ORD0004"/>
    <x v="99"/>
    <x v="3"/>
    <x v="0"/>
    <x v="8"/>
    <s v="Customer 092"/>
    <n v="4"/>
    <n v="8313.2099999999991"/>
    <n v="0.05"/>
    <n v="33252.839999999997"/>
    <n v="31590.2"/>
  </r>
  <r>
    <s v="ORD0205"/>
    <x v="99"/>
    <x v="3"/>
    <x v="1"/>
    <x v="1"/>
    <s v="Customer 063"/>
    <n v="5"/>
    <n v="12647.07"/>
    <n v="0.1"/>
    <n v="63235.33"/>
    <n v="56911.8"/>
  </r>
  <r>
    <s v="ORD0190"/>
    <x v="100"/>
    <x v="1"/>
    <x v="0"/>
    <x v="0"/>
    <s v="Customer 045"/>
    <n v="7"/>
    <n v="4443.38"/>
    <n v="0.1"/>
    <n v="31103.64"/>
    <n v="27993.279999999999"/>
  </r>
  <r>
    <s v="ORD0024"/>
    <x v="101"/>
    <x v="0"/>
    <x v="1"/>
    <x v="4"/>
    <s v="Customer 062"/>
    <n v="6"/>
    <n v="477.5"/>
    <n v="0.05"/>
    <n v="2865.01"/>
    <n v="2721.76"/>
  </r>
  <r>
    <s v="ORD0051"/>
    <x v="101"/>
    <x v="2"/>
    <x v="0"/>
    <x v="8"/>
    <s v="Customer 070"/>
    <n v="6"/>
    <n v="9130.7999999999993"/>
    <n v="0"/>
    <n v="54784.800000000003"/>
    <n v="54784.800000000003"/>
  </r>
  <r>
    <s v="ORD0171"/>
    <x v="102"/>
    <x v="3"/>
    <x v="3"/>
    <x v="11"/>
    <s v="Customer 026"/>
    <n v="4"/>
    <n v="4508.2"/>
    <n v="0"/>
    <n v="18032.79"/>
    <n v="18032.79"/>
  </r>
  <r>
    <s v="ORD0185"/>
    <x v="103"/>
    <x v="1"/>
    <x v="3"/>
    <x v="5"/>
    <s v="Customer 039"/>
    <n v="5"/>
    <n v="1678.16"/>
    <n v="0.1"/>
    <n v="8390.81"/>
    <n v="7551.73"/>
  </r>
  <r>
    <s v="ORD0105"/>
    <x v="104"/>
    <x v="0"/>
    <x v="3"/>
    <x v="13"/>
    <s v="Customer 067"/>
    <n v="6"/>
    <n v="928.46"/>
    <n v="0"/>
    <n v="5570.78"/>
    <n v="5570.78"/>
  </r>
  <r>
    <s v="ORD0243"/>
    <x v="105"/>
    <x v="2"/>
    <x v="0"/>
    <x v="17"/>
    <s v="Customer 012"/>
    <n v="6"/>
    <n v="2254.56"/>
    <n v="0.15"/>
    <n v="13527.38"/>
    <n v="11498.27"/>
  </r>
  <r>
    <s v="ORD0071"/>
    <x v="106"/>
    <x v="1"/>
    <x v="2"/>
    <x v="7"/>
    <s v="Customer 049"/>
    <n v="6"/>
    <n v="64964.24"/>
    <n v="0.05"/>
    <n v="389785.42"/>
    <n v="370296.15"/>
  </r>
  <r>
    <s v="ORD0209"/>
    <x v="107"/>
    <x v="3"/>
    <x v="1"/>
    <x v="1"/>
    <s v="Customer 088"/>
    <n v="1"/>
    <n v="12253.08"/>
    <n v="0"/>
    <n v="12253.08"/>
    <n v="12253.08"/>
  </r>
  <r>
    <s v="ORD0021"/>
    <x v="108"/>
    <x v="0"/>
    <x v="0"/>
    <x v="12"/>
    <s v="Customer 001"/>
    <n v="2"/>
    <n v="5167.4399999999996"/>
    <n v="0.05"/>
    <n v="10334.870000000001"/>
    <n v="9818.1299999999992"/>
  </r>
  <r>
    <s v="ORD0170"/>
    <x v="108"/>
    <x v="2"/>
    <x v="1"/>
    <x v="14"/>
    <s v="Customer 046"/>
    <n v="5"/>
    <n v="8959.83"/>
    <n v="0.05"/>
    <n v="44799.13"/>
    <n v="42559.17"/>
  </r>
  <r>
    <s v="ORD0068"/>
    <x v="109"/>
    <x v="1"/>
    <x v="2"/>
    <x v="16"/>
    <s v="Customer 049"/>
    <n v="5"/>
    <n v="21232.76"/>
    <n v="0"/>
    <n v="106163.81"/>
    <n v="106163.81"/>
  </r>
  <r>
    <s v="ORD0057"/>
    <x v="109"/>
    <x v="1"/>
    <x v="3"/>
    <x v="10"/>
    <s v="Customer 069"/>
    <n v="5"/>
    <n v="1736.62"/>
    <n v="0.15"/>
    <n v="8683.1"/>
    <n v="7380.64"/>
  </r>
  <r>
    <s v="ORD0191"/>
    <x v="110"/>
    <x v="0"/>
    <x v="0"/>
    <x v="6"/>
    <s v="Customer 079"/>
    <n v="4"/>
    <n v="7241.42"/>
    <n v="0.05"/>
    <n v="28965.68"/>
    <n v="27517.39"/>
  </r>
  <r>
    <s v="ORD0121"/>
    <x v="111"/>
    <x v="1"/>
    <x v="1"/>
    <x v="1"/>
    <s v="Customer 075"/>
    <n v="6"/>
    <n v="11368.1"/>
    <n v="0.1"/>
    <n v="68208.63"/>
    <n v="61387.76"/>
  </r>
  <r>
    <s v="ORD0135"/>
    <x v="112"/>
    <x v="2"/>
    <x v="2"/>
    <x v="16"/>
    <s v="Customer 066"/>
    <n v="5"/>
    <n v="22980.57"/>
    <n v="0"/>
    <n v="114902.87"/>
    <n v="114902.87"/>
  </r>
  <r>
    <s v="ORD0090"/>
    <x v="113"/>
    <x v="1"/>
    <x v="2"/>
    <x v="15"/>
    <s v="Customer 025"/>
    <n v="5"/>
    <n v="2676.21"/>
    <n v="0.05"/>
    <n v="13381.06"/>
    <n v="12712.01"/>
  </r>
  <r>
    <s v="ORD0161"/>
    <x v="113"/>
    <x v="3"/>
    <x v="3"/>
    <x v="19"/>
    <s v="Customer 011"/>
    <n v="4"/>
    <n v="3614.21"/>
    <n v="0.15"/>
    <n v="14456.84"/>
    <n v="12288.31"/>
  </r>
  <r>
    <s v="ORD0180"/>
    <x v="114"/>
    <x v="0"/>
    <x v="2"/>
    <x v="7"/>
    <s v="Customer 082"/>
    <n v="7"/>
    <n v="67330.67"/>
    <n v="0.05"/>
    <n v="471314.72"/>
    <n v="447748.99"/>
  </r>
  <r>
    <s v="ORD0009"/>
    <x v="115"/>
    <x v="2"/>
    <x v="0"/>
    <x v="8"/>
    <s v="Customer 100"/>
    <n v="7"/>
    <n v="9492.89"/>
    <n v="0.05"/>
    <n v="66450.23"/>
    <n v="63127.72"/>
  </r>
  <r>
    <s v="ORD0080"/>
    <x v="115"/>
    <x v="2"/>
    <x v="3"/>
    <x v="13"/>
    <s v="Customer 019"/>
    <n v="5"/>
    <n v="882.43"/>
    <n v="0.1"/>
    <n v="4412.1499999999996"/>
    <n v="3970.94"/>
  </r>
  <r>
    <s v="ORD0059"/>
    <x v="116"/>
    <x v="3"/>
    <x v="0"/>
    <x v="17"/>
    <s v="Customer 090"/>
    <n v="5"/>
    <n v="2057.14"/>
    <n v="0"/>
    <n v="10285.719999999999"/>
    <n v="10285.719999999999"/>
  </r>
  <r>
    <s v="ORD0239"/>
    <x v="117"/>
    <x v="0"/>
    <x v="0"/>
    <x v="12"/>
    <s v="Customer 007"/>
    <n v="3"/>
    <n v="5254.09"/>
    <n v="0.05"/>
    <n v="15762.28"/>
    <n v="14974.17"/>
  </r>
  <r>
    <s v="ORD0186"/>
    <x v="118"/>
    <x v="0"/>
    <x v="1"/>
    <x v="1"/>
    <s v="Customer 016"/>
    <n v="4"/>
    <n v="12558.19"/>
    <n v="0"/>
    <n v="50232.75"/>
    <n v="50232.75"/>
  </r>
  <r>
    <s v="ORD0151"/>
    <x v="119"/>
    <x v="2"/>
    <x v="1"/>
    <x v="1"/>
    <s v="Customer 032"/>
    <n v="5"/>
    <n v="11802.85"/>
    <n v="0.05"/>
    <n v="59014.25"/>
    <n v="56063.54"/>
  </r>
  <r>
    <s v="ORD0084"/>
    <x v="120"/>
    <x v="1"/>
    <x v="2"/>
    <x v="16"/>
    <s v="Customer 036"/>
    <n v="5"/>
    <n v="21375.86"/>
    <n v="0"/>
    <n v="106879.28"/>
    <n v="106879.28"/>
  </r>
  <r>
    <s v="ORD0108"/>
    <x v="121"/>
    <x v="0"/>
    <x v="2"/>
    <x v="3"/>
    <s v="Customer 027"/>
    <n v="2"/>
    <n v="6909.99"/>
    <n v="0"/>
    <n v="13819.97"/>
    <n v="13819.97"/>
  </r>
  <r>
    <s v="ORD0027"/>
    <x v="121"/>
    <x v="3"/>
    <x v="2"/>
    <x v="7"/>
    <s v="Customer 070"/>
    <n v="3"/>
    <n v="66879.34"/>
    <n v="0.05"/>
    <n v="200638.01"/>
    <n v="190606.11"/>
  </r>
  <r>
    <s v="ORD0120"/>
    <x v="122"/>
    <x v="1"/>
    <x v="1"/>
    <x v="2"/>
    <s v="Customer 004"/>
    <n v="4"/>
    <n v="1943.21"/>
    <n v="0.1"/>
    <n v="7772.84"/>
    <n v="6995.55"/>
  </r>
  <r>
    <s v="ORD0089"/>
    <x v="122"/>
    <x v="3"/>
    <x v="0"/>
    <x v="0"/>
    <s v="Customer 029"/>
    <n v="1"/>
    <n v="4362.8599999999997"/>
    <n v="0.1"/>
    <n v="4362.8599999999997"/>
    <n v="3926.57"/>
  </r>
  <r>
    <s v="ORD0183"/>
    <x v="123"/>
    <x v="2"/>
    <x v="2"/>
    <x v="15"/>
    <s v="Customer 039"/>
    <n v="2"/>
    <n v="2468.71"/>
    <n v="0.1"/>
    <n v="4937.41"/>
    <n v="4443.67"/>
  </r>
  <r>
    <s v="ORD0159"/>
    <x v="123"/>
    <x v="1"/>
    <x v="3"/>
    <x v="13"/>
    <s v="Customer 048"/>
    <n v="4"/>
    <n v="964"/>
    <n v="0"/>
    <n v="3855.98"/>
    <n v="3855.98"/>
  </r>
  <r>
    <s v="ORD0208"/>
    <x v="124"/>
    <x v="0"/>
    <x v="3"/>
    <x v="11"/>
    <s v="Customer 046"/>
    <n v="6"/>
    <n v="4372.46"/>
    <n v="0"/>
    <n v="26234.76"/>
    <n v="26234.76"/>
  </r>
  <r>
    <s v="ORD0199"/>
    <x v="125"/>
    <x v="3"/>
    <x v="2"/>
    <x v="15"/>
    <s v="Customer 042"/>
    <n v="3"/>
    <n v="2351.81"/>
    <n v="0.1"/>
    <n v="7055.42"/>
    <n v="6349.88"/>
  </r>
  <r>
    <s v="ORD0040"/>
    <x v="125"/>
    <x v="0"/>
    <x v="0"/>
    <x v="8"/>
    <s v="Customer 030"/>
    <n v="3"/>
    <n v="9564.5499999999993"/>
    <n v="0.05"/>
    <n v="28693.64"/>
    <n v="27258.959999999999"/>
  </r>
  <r>
    <s v="ORD0215"/>
    <x v="125"/>
    <x v="0"/>
    <x v="2"/>
    <x v="15"/>
    <s v="Customer 004"/>
    <n v="3"/>
    <n v="2573.3200000000002"/>
    <n v="0.05"/>
    <n v="7719.95"/>
    <n v="7333.96"/>
  </r>
  <r>
    <s v="ORD0197"/>
    <x v="126"/>
    <x v="2"/>
    <x v="0"/>
    <x v="6"/>
    <s v="Customer 013"/>
    <n v="6"/>
    <n v="7555.9"/>
    <n v="0.1"/>
    <n v="45335.38"/>
    <n v="40801.839999999997"/>
  </r>
  <r>
    <s v="ORD0174"/>
    <x v="126"/>
    <x v="3"/>
    <x v="3"/>
    <x v="10"/>
    <s v="Customer 081"/>
    <n v="2"/>
    <n v="1664.98"/>
    <n v="0"/>
    <n v="3329.96"/>
    <n v="3329.96"/>
  </r>
  <r>
    <s v="ORD0242"/>
    <x v="127"/>
    <x v="2"/>
    <x v="3"/>
    <x v="10"/>
    <s v="Customer 079"/>
    <n v="4"/>
    <n v="1664.47"/>
    <n v="0.05"/>
    <n v="6657.86"/>
    <n v="6324.97"/>
  </r>
  <r>
    <s v="ORD0088"/>
    <x v="127"/>
    <x v="3"/>
    <x v="0"/>
    <x v="17"/>
    <s v="Customer 027"/>
    <n v="2"/>
    <n v="2117.61"/>
    <n v="0.05"/>
    <n v="4235.22"/>
    <n v="4023.46"/>
  </r>
  <r>
    <s v="ORD0210"/>
    <x v="128"/>
    <x v="3"/>
    <x v="2"/>
    <x v="15"/>
    <s v="Customer 098"/>
    <n v="6"/>
    <n v="2413.34"/>
    <n v="0"/>
    <n v="14480.02"/>
    <n v="14480.02"/>
  </r>
  <r>
    <s v="ORD0023"/>
    <x v="129"/>
    <x v="3"/>
    <x v="3"/>
    <x v="13"/>
    <s v="Customer 024"/>
    <n v="1"/>
    <n v="897.82"/>
    <n v="0.1"/>
    <n v="897.82"/>
    <n v="808.03"/>
  </r>
  <r>
    <s v="ORD0165"/>
    <x v="130"/>
    <x v="0"/>
    <x v="0"/>
    <x v="12"/>
    <s v="Customer 073"/>
    <n v="1"/>
    <n v="5296.44"/>
    <n v="0.05"/>
    <n v="5296.44"/>
    <n v="5031.6099999999997"/>
  </r>
  <r>
    <s v="ORD0010"/>
    <x v="130"/>
    <x v="2"/>
    <x v="0"/>
    <x v="17"/>
    <s v="Customer 053"/>
    <n v="1"/>
    <n v="2362.33"/>
    <n v="0.1"/>
    <n v="2362.33"/>
    <n v="2126.1"/>
  </r>
  <r>
    <s v="ORD0236"/>
    <x v="131"/>
    <x v="3"/>
    <x v="2"/>
    <x v="7"/>
    <s v="Customer 045"/>
    <n v="5"/>
    <n v="66203.72"/>
    <n v="0"/>
    <n v="331018.59000000003"/>
    <n v="331018.59000000003"/>
  </r>
  <r>
    <s v="ORD0157"/>
    <x v="132"/>
    <x v="0"/>
    <x v="1"/>
    <x v="4"/>
    <s v="Customer 067"/>
    <n v="7"/>
    <n v="461.58"/>
    <n v="0"/>
    <n v="3231.04"/>
    <n v="3231.04"/>
  </r>
  <r>
    <s v="ORD0029"/>
    <x v="133"/>
    <x v="3"/>
    <x v="2"/>
    <x v="3"/>
    <s v="Customer 097"/>
    <n v="2"/>
    <n v="6638.87"/>
    <n v="0.05"/>
    <n v="13277.74"/>
    <n v="12613.85"/>
  </r>
  <r>
    <s v="ORD0173"/>
    <x v="134"/>
    <x v="2"/>
    <x v="3"/>
    <x v="13"/>
    <s v="Customer 069"/>
    <n v="6"/>
    <n v="896.55"/>
    <n v="0.1"/>
    <n v="5379.31"/>
    <n v="4841.38"/>
  </r>
  <r>
    <s v="ORD0156"/>
    <x v="135"/>
    <x v="1"/>
    <x v="3"/>
    <x v="11"/>
    <s v="Customer 088"/>
    <n v="7"/>
    <n v="4306.8"/>
    <n v="0"/>
    <n v="30147.58"/>
    <n v="30147.58"/>
  </r>
  <r>
    <s v="ORD0206"/>
    <x v="136"/>
    <x v="1"/>
    <x v="1"/>
    <x v="9"/>
    <s v="Customer 031"/>
    <n v="7"/>
    <n v="1909.91"/>
    <n v="0.15"/>
    <n v="13369.38"/>
    <n v="11363.97"/>
  </r>
  <r>
    <s v="ORD0104"/>
    <x v="136"/>
    <x v="1"/>
    <x v="2"/>
    <x v="15"/>
    <s v="Customer 055"/>
    <n v="3"/>
    <n v="2396.06"/>
    <n v="0"/>
    <n v="7188.17"/>
    <n v="7188.17"/>
  </r>
  <r>
    <s v="ORD0061"/>
    <x v="137"/>
    <x v="1"/>
    <x v="0"/>
    <x v="8"/>
    <s v="Customer 058"/>
    <n v="4"/>
    <n v="8345.24"/>
    <n v="0.05"/>
    <n v="33380.949999999997"/>
    <n v="31711.9"/>
  </r>
  <r>
    <s v="ORD0028"/>
    <x v="138"/>
    <x v="2"/>
    <x v="3"/>
    <x v="5"/>
    <s v="Customer 024"/>
    <n v="7"/>
    <n v="1875.35"/>
    <n v="0"/>
    <n v="13127.43"/>
    <n v="13127.43"/>
  </r>
  <r>
    <s v="ORD0094"/>
    <x v="139"/>
    <x v="0"/>
    <x v="2"/>
    <x v="3"/>
    <s v="Customer 023"/>
    <n v="1"/>
    <n v="6535.72"/>
    <n v="0.1"/>
    <n v="6535.72"/>
    <n v="5882.15"/>
  </r>
  <r>
    <s v="ORD0124"/>
    <x v="139"/>
    <x v="0"/>
    <x v="0"/>
    <x v="8"/>
    <s v="Customer 006"/>
    <n v="6"/>
    <n v="8502.2800000000007"/>
    <n v="0.05"/>
    <n v="51013.69"/>
    <n v="48463.01"/>
  </r>
  <r>
    <s v="ORD0022"/>
    <x v="139"/>
    <x v="1"/>
    <x v="2"/>
    <x v="15"/>
    <s v="Customer 070"/>
    <n v="6"/>
    <n v="2300.21"/>
    <n v="0.05"/>
    <n v="13801.25"/>
    <n v="13111.19"/>
  </r>
  <r>
    <s v="ORD0013"/>
    <x v="140"/>
    <x v="2"/>
    <x v="1"/>
    <x v="4"/>
    <s v="Customer 041"/>
    <n v="1"/>
    <n v="516.91"/>
    <n v="0.1"/>
    <n v="516.91"/>
    <n v="465.22"/>
  </r>
  <r>
    <s v="ORD0162"/>
    <x v="140"/>
    <x v="0"/>
    <x v="0"/>
    <x v="6"/>
    <s v="Customer 038"/>
    <n v="3"/>
    <n v="7101.13"/>
    <n v="0"/>
    <n v="21303.39"/>
    <n v="21303.39"/>
  </r>
  <r>
    <s v="ORD0103"/>
    <x v="141"/>
    <x v="0"/>
    <x v="0"/>
    <x v="0"/>
    <s v="Customer 066"/>
    <n v="4"/>
    <n v="4187.6899999999996"/>
    <n v="0"/>
    <n v="16750.759999999998"/>
    <n v="16750.759999999998"/>
  </r>
  <r>
    <s v="ORD0195"/>
    <x v="141"/>
    <x v="0"/>
    <x v="2"/>
    <x v="18"/>
    <s v="Customer 005"/>
    <n v="1"/>
    <n v="26595.24"/>
    <n v="0.1"/>
    <n v="26595.24"/>
    <n v="23935.72"/>
  </r>
  <r>
    <s v="ORD0232"/>
    <x v="141"/>
    <x v="0"/>
    <x v="2"/>
    <x v="15"/>
    <s v="Customer 095"/>
    <n v="5"/>
    <n v="2582.59"/>
    <n v="0"/>
    <n v="12912.95"/>
    <n v="12912.95"/>
  </r>
  <r>
    <s v="ORD0007"/>
    <x v="142"/>
    <x v="1"/>
    <x v="0"/>
    <x v="8"/>
    <s v="Customer 035"/>
    <n v="2"/>
    <n v="9265.2999999999993"/>
    <n v="0.05"/>
    <n v="18530.59"/>
    <n v="17604.060000000001"/>
  </r>
  <r>
    <s v="ORD0227"/>
    <x v="143"/>
    <x v="2"/>
    <x v="1"/>
    <x v="2"/>
    <s v="Customer 051"/>
    <n v="1"/>
    <n v="1903.72"/>
    <n v="0.1"/>
    <n v="1903.72"/>
    <n v="1713.34"/>
  </r>
  <r>
    <s v="ORD0182"/>
    <x v="144"/>
    <x v="1"/>
    <x v="0"/>
    <x v="0"/>
    <s v="Customer 007"/>
    <n v="7"/>
    <n v="4540.18"/>
    <n v="0.05"/>
    <n v="31781.27"/>
    <n v="30192.2"/>
  </r>
  <r>
    <s v="ORD0189"/>
    <x v="145"/>
    <x v="3"/>
    <x v="0"/>
    <x v="0"/>
    <s v="Customer 010"/>
    <n v="5"/>
    <n v="4167.07"/>
    <n v="0.05"/>
    <n v="20835.349999999999"/>
    <n v="19793.580000000002"/>
  </r>
  <r>
    <s v="ORD0003"/>
    <x v="146"/>
    <x v="0"/>
    <x v="2"/>
    <x v="18"/>
    <s v="Customer 076"/>
    <n v="4"/>
    <n v="29964.720000000001"/>
    <n v="0"/>
    <n v="119858.86"/>
    <n v="119858.86"/>
  </r>
  <r>
    <s v="ORD0211"/>
    <x v="147"/>
    <x v="3"/>
    <x v="1"/>
    <x v="9"/>
    <s v="Customer 020"/>
    <n v="4"/>
    <n v="1707.7"/>
    <n v="0.1"/>
    <n v="6830.78"/>
    <n v="6147.7"/>
  </r>
  <r>
    <s v="ORD0220"/>
    <x v="148"/>
    <x v="3"/>
    <x v="1"/>
    <x v="14"/>
    <s v="Customer 018"/>
    <n v="5"/>
    <n v="8092.49"/>
    <n v="0.1"/>
    <n v="40462.44"/>
    <n v="36416.199999999997"/>
  </r>
  <r>
    <s v="ORD0072"/>
    <x v="149"/>
    <x v="2"/>
    <x v="3"/>
    <x v="5"/>
    <s v="Customer 095"/>
    <n v="5"/>
    <n v="1916.75"/>
    <n v="0"/>
    <n v="9583.75"/>
    <n v="9583.75"/>
  </r>
  <r>
    <s v="ORD0216"/>
    <x v="150"/>
    <x v="0"/>
    <x v="2"/>
    <x v="15"/>
    <s v="Customer 075"/>
    <n v="5"/>
    <n v="2641.68"/>
    <n v="0.05"/>
    <n v="13208.42"/>
    <n v="12548"/>
  </r>
  <r>
    <s v="ORD0129"/>
    <x v="151"/>
    <x v="1"/>
    <x v="3"/>
    <x v="19"/>
    <s v="Customer 085"/>
    <n v="3"/>
    <n v="3665.35"/>
    <n v="0"/>
    <n v="10996.05"/>
    <n v="10996.05"/>
  </r>
  <r>
    <s v="ORD0096"/>
    <x v="152"/>
    <x v="2"/>
    <x v="0"/>
    <x v="0"/>
    <s v="Customer 092"/>
    <n v="3"/>
    <n v="4337.8100000000004"/>
    <n v="0"/>
    <n v="13013.42"/>
    <n v="13013.42"/>
  </r>
  <r>
    <s v="ORD0138"/>
    <x v="153"/>
    <x v="2"/>
    <x v="2"/>
    <x v="18"/>
    <s v="Customer 043"/>
    <n v="3"/>
    <n v="28632.34"/>
    <n v="0.1"/>
    <n v="85897.02"/>
    <n v="77307.320000000007"/>
  </r>
  <r>
    <s v="ORD0192"/>
    <x v="154"/>
    <x v="0"/>
    <x v="2"/>
    <x v="7"/>
    <s v="Customer 043"/>
    <n v="1"/>
    <n v="66868.33"/>
    <n v="0"/>
    <n v="66868.33"/>
    <n v="66868.33"/>
  </r>
  <r>
    <s v="ORD0245"/>
    <x v="154"/>
    <x v="0"/>
    <x v="3"/>
    <x v="11"/>
    <s v="Customer 038"/>
    <n v="4"/>
    <n v="4114.55"/>
    <n v="0.05"/>
    <n v="16458.22"/>
    <n v="15635.31"/>
  </r>
  <r>
    <s v="ORD0146"/>
    <x v="155"/>
    <x v="2"/>
    <x v="2"/>
    <x v="15"/>
    <s v="Customer 007"/>
    <n v="7"/>
    <n v="2465.8000000000002"/>
    <n v="0.1"/>
    <n v="17260.61"/>
    <n v="15534.55"/>
  </r>
  <r>
    <s v="ORD0237"/>
    <x v="156"/>
    <x v="2"/>
    <x v="3"/>
    <x v="19"/>
    <s v="Customer 070"/>
    <n v="7"/>
    <n v="3462.85"/>
    <n v="0"/>
    <n v="24239.93"/>
    <n v="24239.93"/>
  </r>
  <r>
    <s v="ORD0202"/>
    <x v="157"/>
    <x v="3"/>
    <x v="2"/>
    <x v="3"/>
    <s v="Customer 062"/>
    <n v="5"/>
    <n v="7011.13"/>
    <n v="0"/>
    <n v="35055.67"/>
    <n v="35055.67"/>
  </r>
  <r>
    <s v="ORD0043"/>
    <x v="158"/>
    <x v="0"/>
    <x v="2"/>
    <x v="15"/>
    <s v="Customer 095"/>
    <n v="4"/>
    <n v="2306.1799999999998"/>
    <n v="0.15"/>
    <n v="9224.73"/>
    <n v="7841.02"/>
  </r>
  <r>
    <s v="ORD0065"/>
    <x v="158"/>
    <x v="2"/>
    <x v="0"/>
    <x v="12"/>
    <s v="Customer 035"/>
    <n v="4"/>
    <n v="5301.09"/>
    <n v="0"/>
    <n v="21204.34"/>
    <n v="21204.34"/>
  </r>
  <r>
    <s v="ORD0085"/>
    <x v="159"/>
    <x v="2"/>
    <x v="1"/>
    <x v="4"/>
    <s v="Customer 015"/>
    <n v="4"/>
    <n v="466.03"/>
    <n v="0"/>
    <n v="1864.14"/>
    <n v="1864.14"/>
  </r>
  <r>
    <s v="ORD0213"/>
    <x v="160"/>
    <x v="2"/>
    <x v="0"/>
    <x v="0"/>
    <s v="Customer 064"/>
    <n v="6"/>
    <n v="4587.0600000000004"/>
    <n v="0"/>
    <n v="27522.36"/>
    <n v="27522.36"/>
  </r>
  <r>
    <s v="ORD0097"/>
    <x v="160"/>
    <x v="3"/>
    <x v="1"/>
    <x v="14"/>
    <s v="Customer 065"/>
    <n v="2"/>
    <n v="8527.6200000000008"/>
    <n v="0.1"/>
    <n v="17055.240000000002"/>
    <n v="15349.71"/>
  </r>
  <r>
    <s v="ORD0132"/>
    <x v="161"/>
    <x v="3"/>
    <x v="1"/>
    <x v="1"/>
    <s v="Customer 051"/>
    <n v="1"/>
    <n v="11722.3"/>
    <n v="0.05"/>
    <n v="11722.3"/>
    <n v="11136.18"/>
  </r>
  <r>
    <s v="ORD0119"/>
    <x v="162"/>
    <x v="0"/>
    <x v="0"/>
    <x v="12"/>
    <s v="Customer 003"/>
    <n v="6"/>
    <n v="5310.88"/>
    <n v="0"/>
    <n v="31865.3"/>
    <n v="31865.3"/>
  </r>
  <r>
    <s v="ORD0145"/>
    <x v="163"/>
    <x v="0"/>
    <x v="1"/>
    <x v="2"/>
    <s v="Customer 026"/>
    <n v="7"/>
    <n v="1671.77"/>
    <n v="0"/>
    <n v="11702.4"/>
    <n v="11702.4"/>
  </r>
  <r>
    <s v="ORD0234"/>
    <x v="164"/>
    <x v="2"/>
    <x v="0"/>
    <x v="12"/>
    <s v="Customer 026"/>
    <n v="7"/>
    <n v="5130.5"/>
    <n v="0.1"/>
    <n v="35913.51"/>
    <n v="32322.16"/>
  </r>
  <r>
    <s v="ORD0117"/>
    <x v="165"/>
    <x v="0"/>
    <x v="2"/>
    <x v="3"/>
    <s v="Customer 070"/>
    <n v="2"/>
    <n v="6611.86"/>
    <n v="0"/>
    <n v="13223.71"/>
    <n v="13223.71"/>
  </r>
  <r>
    <s v="ORD0006"/>
    <x v="166"/>
    <x v="2"/>
    <x v="1"/>
    <x v="2"/>
    <s v="Customer 009"/>
    <n v="1"/>
    <n v="1674.73"/>
    <n v="0.15"/>
    <n v="1674.73"/>
    <n v="1423.52"/>
  </r>
  <r>
    <s v="ORD0048"/>
    <x v="166"/>
    <x v="2"/>
    <x v="1"/>
    <x v="14"/>
    <s v="Customer 007"/>
    <n v="3"/>
    <n v="8168.44"/>
    <n v="0.05"/>
    <n v="24505.32"/>
    <n v="23280.06"/>
  </r>
  <r>
    <s v="ORD0041"/>
    <x v="167"/>
    <x v="3"/>
    <x v="2"/>
    <x v="3"/>
    <s v="Customer 019"/>
    <n v="7"/>
    <n v="6492.22"/>
    <n v="0"/>
    <n v="45445.53"/>
    <n v="45445.53"/>
  </r>
  <r>
    <s v="ORD0128"/>
    <x v="168"/>
    <x v="2"/>
    <x v="2"/>
    <x v="18"/>
    <s v="Customer 060"/>
    <n v="4"/>
    <n v="27458.94"/>
    <n v="0.15"/>
    <n v="109835.78"/>
    <n v="93360.41"/>
  </r>
  <r>
    <s v="ORD0045"/>
    <x v="169"/>
    <x v="3"/>
    <x v="3"/>
    <x v="11"/>
    <s v="Customer 046"/>
    <n v="1"/>
    <n v="4129.2299999999996"/>
    <n v="0.1"/>
    <n v="4129.2299999999996"/>
    <n v="3716.31"/>
  </r>
  <r>
    <s v="ORD0107"/>
    <x v="170"/>
    <x v="0"/>
    <x v="2"/>
    <x v="16"/>
    <s v="Customer 005"/>
    <n v="2"/>
    <n v="21220.639999999999"/>
    <n v="0"/>
    <n v="42441.279999999999"/>
    <n v="42441.279999999999"/>
  </r>
  <r>
    <s v="ORD0194"/>
    <x v="171"/>
    <x v="1"/>
    <x v="3"/>
    <x v="5"/>
    <s v="Customer 098"/>
    <n v="5"/>
    <n v="1843.1"/>
    <n v="0.05"/>
    <n v="9215.49"/>
    <n v="8754.7199999999993"/>
  </r>
  <r>
    <s v="ORD0127"/>
    <x v="172"/>
    <x v="0"/>
    <x v="0"/>
    <x v="0"/>
    <s v="Customer 075"/>
    <n v="5"/>
    <n v="4738.05"/>
    <n v="0.15"/>
    <n v="23690.23"/>
    <n v="20136.7"/>
  </r>
  <r>
    <s v="ORD0101"/>
    <x v="173"/>
    <x v="3"/>
    <x v="1"/>
    <x v="14"/>
    <s v="Customer 030"/>
    <n v="4"/>
    <n v="8564.5300000000007"/>
    <n v="0.05"/>
    <n v="34258.11"/>
    <n v="32545.200000000001"/>
  </r>
  <r>
    <s v="ORD0100"/>
    <x v="173"/>
    <x v="1"/>
    <x v="3"/>
    <x v="11"/>
    <s v="Customer 051"/>
    <n v="6"/>
    <n v="4272.6400000000003"/>
    <n v="0.05"/>
    <n v="25635.81"/>
    <n v="24354.02"/>
  </r>
  <r>
    <s v="ORD0062"/>
    <x v="174"/>
    <x v="1"/>
    <x v="3"/>
    <x v="10"/>
    <s v="Customer 002"/>
    <n v="5"/>
    <n v="1852.98"/>
    <n v="0.05"/>
    <n v="9264.91"/>
    <n v="8801.66"/>
  </r>
  <r>
    <s v="ORD0078"/>
    <x v="175"/>
    <x v="3"/>
    <x v="0"/>
    <x v="12"/>
    <s v="Customer 065"/>
    <n v="2"/>
    <n v="5189.01"/>
    <n v="0.05"/>
    <n v="10378.02"/>
    <n v="9859.1200000000008"/>
  </r>
  <r>
    <s v="ORD0179"/>
    <x v="175"/>
    <x v="3"/>
    <x v="1"/>
    <x v="1"/>
    <s v="Customer 095"/>
    <n v="7"/>
    <n v="11206.47"/>
    <n v="0.15"/>
    <n v="78445.320000000007"/>
    <n v="66678.52"/>
  </r>
  <r>
    <s v="ORD0092"/>
    <x v="176"/>
    <x v="2"/>
    <x v="0"/>
    <x v="0"/>
    <s v="Customer 063"/>
    <n v="2"/>
    <n v="4850.84"/>
    <n v="0"/>
    <n v="9701.68"/>
    <n v="9701.68"/>
  </r>
  <r>
    <s v="ORD0050"/>
    <x v="177"/>
    <x v="1"/>
    <x v="1"/>
    <x v="9"/>
    <s v="Customer 025"/>
    <n v="2"/>
    <n v="1683.07"/>
    <n v="0.05"/>
    <n v="3366.13"/>
    <n v="3197.83"/>
  </r>
  <r>
    <s v="ORD0163"/>
    <x v="177"/>
    <x v="3"/>
    <x v="3"/>
    <x v="10"/>
    <s v="Customer 024"/>
    <n v="2"/>
    <n v="1903.99"/>
    <n v="0"/>
    <n v="3807.98"/>
    <n v="3807.98"/>
  </r>
  <r>
    <s v="ORD0026"/>
    <x v="178"/>
    <x v="0"/>
    <x v="2"/>
    <x v="15"/>
    <s v="Customer 096"/>
    <n v="1"/>
    <n v="2690.65"/>
    <n v="0.05"/>
    <n v="2690.65"/>
    <n v="2556.11"/>
  </r>
  <r>
    <s v="ORD0233"/>
    <x v="179"/>
    <x v="2"/>
    <x v="3"/>
    <x v="10"/>
    <s v="Customer 084"/>
    <n v="2"/>
    <n v="1925.34"/>
    <n v="0.15"/>
    <n v="3850.68"/>
    <n v="3273.07"/>
  </r>
  <r>
    <s v="ORD0082"/>
    <x v="179"/>
    <x v="2"/>
    <x v="3"/>
    <x v="19"/>
    <s v="Customer 063"/>
    <n v="7"/>
    <n v="3583.56"/>
    <n v="0.1"/>
    <n v="25084.9"/>
    <n v="22576.41"/>
  </r>
  <r>
    <s v="ORD0222"/>
    <x v="180"/>
    <x v="3"/>
    <x v="3"/>
    <x v="13"/>
    <s v="Customer 044"/>
    <n v="6"/>
    <n v="904.37"/>
    <n v="0"/>
    <n v="5426.23"/>
    <n v="5426.23"/>
  </r>
  <r>
    <s v="ORD0031"/>
    <x v="181"/>
    <x v="1"/>
    <x v="3"/>
    <x v="13"/>
    <s v="Customer 052"/>
    <n v="2"/>
    <n v="901.74"/>
    <n v="0"/>
    <n v="1803.48"/>
    <n v="1803.48"/>
  </r>
  <r>
    <s v="ORD0017"/>
    <x v="181"/>
    <x v="1"/>
    <x v="1"/>
    <x v="14"/>
    <s v="Customer 052"/>
    <n v="2"/>
    <n v="8417.5"/>
    <n v="0"/>
    <n v="16835"/>
    <n v="16835"/>
  </r>
  <r>
    <s v="ORD0229"/>
    <x v="182"/>
    <x v="2"/>
    <x v="3"/>
    <x v="5"/>
    <s v="Customer 097"/>
    <n v="1"/>
    <n v="1817.18"/>
    <n v="0"/>
    <n v="1817.18"/>
    <n v="1817.18"/>
  </r>
  <r>
    <s v="ORD0070"/>
    <x v="183"/>
    <x v="0"/>
    <x v="2"/>
    <x v="3"/>
    <s v="Customer 030"/>
    <n v="1"/>
    <n v="6687.04"/>
    <n v="0.1"/>
    <n v="6687.04"/>
    <n v="6018.33"/>
  </r>
  <r>
    <s v="ORD0244"/>
    <x v="183"/>
    <x v="2"/>
    <x v="1"/>
    <x v="2"/>
    <s v="Customer 008"/>
    <n v="2"/>
    <n v="1837.89"/>
    <n v="0.1"/>
    <n v="3675.78"/>
    <n v="3308.2"/>
  </r>
  <r>
    <s v="ORD0167"/>
    <x v="184"/>
    <x v="0"/>
    <x v="2"/>
    <x v="15"/>
    <s v="Customer 038"/>
    <n v="6"/>
    <n v="2665.72"/>
    <n v="0"/>
    <n v="15994.32"/>
    <n v="15994.32"/>
  </r>
  <r>
    <s v="ORD0141"/>
    <x v="184"/>
    <x v="3"/>
    <x v="2"/>
    <x v="7"/>
    <s v="Customer 068"/>
    <n v="7"/>
    <n v="67351.39"/>
    <n v="0.05"/>
    <n v="471459.76"/>
    <n v="447886.77"/>
  </r>
  <r>
    <s v="ORD0060"/>
    <x v="185"/>
    <x v="1"/>
    <x v="0"/>
    <x v="8"/>
    <s v="Customer 010"/>
    <n v="7"/>
    <n v="8778.68"/>
    <n v="0.05"/>
    <n v="61450.75"/>
    <n v="58378.21"/>
  </r>
  <r>
    <s v="ORD0218"/>
    <x v="185"/>
    <x v="1"/>
    <x v="0"/>
    <x v="17"/>
    <s v="Customer 084"/>
    <n v="4"/>
    <n v="2281.41"/>
    <n v="0.15"/>
    <n v="9125.6299999999992"/>
    <n v="7756.78"/>
  </r>
  <r>
    <s v="ORD0198"/>
    <x v="185"/>
    <x v="2"/>
    <x v="3"/>
    <x v="19"/>
    <s v="Customer 011"/>
    <n v="7"/>
    <n v="3239.52"/>
    <n v="0.1"/>
    <n v="22676.67"/>
    <n v="20409"/>
  </r>
  <r>
    <s v="ORD0016"/>
    <x v="186"/>
    <x v="1"/>
    <x v="1"/>
    <x v="1"/>
    <s v="Customer 009"/>
    <n v="5"/>
    <n v="12117.65"/>
    <n v="0.1"/>
    <n v="60588.26"/>
    <n v="54529.43"/>
  </r>
  <r>
    <s v="ORD0112"/>
    <x v="187"/>
    <x v="1"/>
    <x v="1"/>
    <x v="4"/>
    <s v="Customer 018"/>
    <n v="7"/>
    <n v="514.97"/>
    <n v="0.1"/>
    <n v="3604.81"/>
    <n v="3244.33"/>
  </r>
  <r>
    <s v="ORD0147"/>
    <x v="188"/>
    <x v="1"/>
    <x v="0"/>
    <x v="12"/>
    <s v="Customer 051"/>
    <n v="2"/>
    <n v="5868.24"/>
    <n v="0.05"/>
    <n v="11736.48"/>
    <n v="11149.66"/>
  </r>
  <r>
    <s v="ORD0111"/>
    <x v="189"/>
    <x v="2"/>
    <x v="1"/>
    <x v="14"/>
    <s v="Customer 014"/>
    <n v="4"/>
    <n v="8321.7199999999993"/>
    <n v="0.05"/>
    <n v="33286.89"/>
    <n v="31622.5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761AAA3-2361-41B8-81CA-C4C418EDEE26}" name="PivotTable1"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5" firstHeaderRow="1" firstDataRow="1" firstDataCol="1"/>
  <pivotFields count="13">
    <pivotField showAll="0"/>
    <pivotField numFmtId="165" showAll="0">
      <items count="19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t="default"/>
      </items>
    </pivotField>
    <pivotField showAll="0">
      <items count="5">
        <item x="1"/>
        <item x="0"/>
        <item x="2"/>
        <item x="3"/>
        <item t="default"/>
      </items>
    </pivotField>
    <pivotField showAll="0">
      <items count="5">
        <item x="2"/>
        <item x="3"/>
        <item x="0"/>
        <item x="1"/>
        <item t="default"/>
      </items>
    </pivotField>
    <pivotField showAll="0">
      <items count="21">
        <item h="1" x="6"/>
        <item h="1" x="10"/>
        <item h="1" x="12"/>
        <item h="1" x="9"/>
        <item h="1" x="17"/>
        <item h="1" x="15"/>
        <item h="1" x="19"/>
        <item x="5"/>
        <item h="1" x="2"/>
        <item h="1" x="7"/>
        <item h="1" x="0"/>
        <item h="1" x="4"/>
        <item h="1" x="14"/>
        <item h="1" x="1"/>
        <item h="1" x="18"/>
        <item h="1" x="3"/>
        <item h="1" x="11"/>
        <item h="1" x="16"/>
        <item h="1" x="13"/>
        <item h="1" x="8"/>
        <item t="default"/>
      </items>
    </pivotField>
    <pivotField showAll="0"/>
    <pivotField showAll="0"/>
    <pivotField numFmtId="166" showAll="0"/>
    <pivotField numFmtId="9" showAll="0"/>
    <pivotField numFmtId="166" showAll="0"/>
    <pivotField dataField="1" numFmtId="166"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2"/>
  </rowFields>
  <rowItems count="12">
    <i>
      <x v="1"/>
    </i>
    <i>
      <x v="2"/>
    </i>
    <i>
      <x v="3"/>
    </i>
    <i>
      <x v="4"/>
    </i>
    <i>
      <x v="5"/>
    </i>
    <i>
      <x v="6"/>
    </i>
    <i>
      <x v="7"/>
    </i>
    <i>
      <x v="9"/>
    </i>
    <i>
      <x v="10"/>
    </i>
    <i>
      <x v="11"/>
    </i>
    <i>
      <x v="12"/>
    </i>
    <i t="grand">
      <x/>
    </i>
  </rowItems>
  <colItems count="1">
    <i/>
  </colItems>
  <dataFields count="1">
    <dataField name="Sum of Revenue" fld="10" baseField="0" baseItem="0" numFmtId="166"/>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8FB3B03-9C95-4C27-A87E-D6B2BF1B88E0}" name="PivotTable2"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5" firstHeaderRow="1" firstDataRow="1" firstDataCol="1"/>
  <pivotFields count="13">
    <pivotField showAll="0"/>
    <pivotField numFmtId="165" showAll="0">
      <items count="19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t="default"/>
      </items>
    </pivotField>
    <pivotField showAll="0">
      <items count="5">
        <item x="1"/>
        <item x="0"/>
        <item x="2"/>
        <item x="3"/>
        <item t="default"/>
      </items>
    </pivotField>
    <pivotField axis="axisRow" showAll="0">
      <items count="5">
        <item x="2"/>
        <item x="3"/>
        <item x="0"/>
        <item x="1"/>
        <item t="default"/>
      </items>
    </pivotField>
    <pivotField showAll="0">
      <items count="21">
        <item h="1" x="6"/>
        <item h="1" x="10"/>
        <item h="1" x="12"/>
        <item h="1" x="9"/>
        <item h="1" x="17"/>
        <item h="1" x="15"/>
        <item h="1" x="19"/>
        <item x="5"/>
        <item h="1" x="2"/>
        <item h="1" x="7"/>
        <item h="1" x="0"/>
        <item h="1" x="4"/>
        <item h="1" x="14"/>
        <item h="1" x="1"/>
        <item h="1" x="18"/>
        <item h="1" x="3"/>
        <item h="1" x="11"/>
        <item h="1" x="16"/>
        <item h="1" x="13"/>
        <item h="1" x="8"/>
        <item t="default"/>
      </items>
    </pivotField>
    <pivotField showAll="0"/>
    <pivotField showAll="0"/>
    <pivotField numFmtId="166" showAll="0"/>
    <pivotField numFmtId="9" showAll="0"/>
    <pivotField numFmtId="166" showAll="0"/>
    <pivotField dataField="1" numFmtId="166" showAll="0"/>
    <pivotField showAll="0" defaultSubtotal="0"/>
    <pivotField showAll="0" defaultSubtotal="0">
      <items count="14">
        <item x="0"/>
        <item x="1"/>
        <item x="2"/>
        <item x="3"/>
        <item x="4"/>
        <item x="5"/>
        <item x="6"/>
        <item x="7"/>
        <item x="8"/>
        <item x="9"/>
        <item x="10"/>
        <item x="11"/>
        <item x="12"/>
        <item x="13"/>
      </items>
    </pivotField>
  </pivotFields>
  <rowFields count="1">
    <field x="3"/>
  </rowFields>
  <rowItems count="2">
    <i>
      <x v="1"/>
    </i>
    <i t="grand">
      <x/>
    </i>
  </rowItems>
  <colItems count="1">
    <i/>
  </colItems>
  <dataFields count="1">
    <dataField name="Sum of Revenue" fld="10" baseField="0" baseItem="0" numFmtId="166"/>
  </dataFields>
  <chartFormats count="2">
    <chartFormat chart="1" format="0"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A526503-8677-499F-A6C4-D9DBA54ABDB8}" name="PivotTable3"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5" firstHeaderRow="1" firstDataRow="1" firstDataCol="1"/>
  <pivotFields count="13">
    <pivotField showAll="0"/>
    <pivotField numFmtId="165" showAll="0">
      <items count="19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t="default"/>
      </items>
    </pivotField>
    <pivotField showAll="0">
      <items count="5">
        <item x="1"/>
        <item x="0"/>
        <item x="2"/>
        <item x="3"/>
        <item t="default"/>
      </items>
    </pivotField>
    <pivotField showAll="0">
      <items count="5">
        <item x="2"/>
        <item x="3"/>
        <item x="0"/>
        <item x="1"/>
        <item t="default"/>
      </items>
    </pivotField>
    <pivotField axis="axisRow" showAll="0" sortType="descending">
      <items count="21">
        <item h="1" x="6"/>
        <item h="1" x="10"/>
        <item h="1" x="12"/>
        <item h="1" x="9"/>
        <item h="1" x="17"/>
        <item h="1" x="15"/>
        <item h="1" x="19"/>
        <item x="5"/>
        <item h="1" x="2"/>
        <item h="1" x="7"/>
        <item h="1" x="0"/>
        <item h="1" x="4"/>
        <item h="1" x="14"/>
        <item h="1" x="1"/>
        <item h="1" x="18"/>
        <item h="1" x="3"/>
        <item h="1" x="11"/>
        <item h="1" x="16"/>
        <item h="1" x="13"/>
        <item h="1" x="8"/>
        <item t="default"/>
      </items>
      <autoSortScope>
        <pivotArea dataOnly="0" outline="0" fieldPosition="0">
          <references count="1">
            <reference field="4294967294" count="1" selected="0">
              <x v="0"/>
            </reference>
          </references>
        </pivotArea>
      </autoSortScope>
    </pivotField>
    <pivotField showAll="0"/>
    <pivotField showAll="0"/>
    <pivotField numFmtId="166" showAll="0"/>
    <pivotField numFmtId="9" showAll="0"/>
    <pivotField numFmtId="166" showAll="0"/>
    <pivotField dataField="1" numFmtId="166" showAll="0"/>
    <pivotField showAll="0" defaultSubtotal="0"/>
    <pivotField showAll="0" defaultSubtotal="0">
      <items count="14">
        <item x="0"/>
        <item x="1"/>
        <item x="2"/>
        <item x="3"/>
        <item x="4"/>
        <item x="5"/>
        <item x="6"/>
        <item x="7"/>
        <item x="8"/>
        <item x="9"/>
        <item x="10"/>
        <item x="11"/>
        <item x="12"/>
        <item x="13"/>
      </items>
    </pivotField>
  </pivotFields>
  <rowFields count="1">
    <field x="4"/>
  </rowFields>
  <rowItems count="2">
    <i>
      <x v="7"/>
    </i>
    <i t="grand">
      <x/>
    </i>
  </rowItems>
  <colItems count="1">
    <i/>
  </colItems>
  <dataFields count="1">
    <dataField name="Sum of Revenue" fld="10" baseField="0" baseItem="0" numFmtId="166"/>
  </dataFields>
  <chartFormats count="2">
    <chartFormat chart="0" format="0"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54F82CC-AC63-46E4-A61F-C738BC01DB2A}" name="PivotTable4"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7" firstHeaderRow="1" firstDataRow="1" firstDataCol="1"/>
  <pivotFields count="13">
    <pivotField showAll="0"/>
    <pivotField numFmtId="165" showAll="0">
      <items count="19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t="default"/>
      </items>
    </pivotField>
    <pivotField axis="axisRow" showAll="0">
      <items count="5">
        <item x="1"/>
        <item x="0"/>
        <item x="2"/>
        <item x="3"/>
        <item t="default"/>
      </items>
    </pivotField>
    <pivotField showAll="0">
      <items count="5">
        <item x="2"/>
        <item x="3"/>
        <item x="0"/>
        <item x="1"/>
        <item t="default"/>
      </items>
    </pivotField>
    <pivotField showAll="0">
      <items count="21">
        <item h="1" x="6"/>
        <item h="1" x="10"/>
        <item h="1" x="12"/>
        <item h="1" x="9"/>
        <item h="1" x="17"/>
        <item h="1" x="15"/>
        <item h="1" x="19"/>
        <item x="5"/>
        <item h="1" x="2"/>
        <item h="1" x="7"/>
        <item h="1" x="0"/>
        <item h="1" x="4"/>
        <item h="1" x="14"/>
        <item h="1" x="1"/>
        <item h="1" x="18"/>
        <item h="1" x="3"/>
        <item h="1" x="11"/>
        <item h="1" x="16"/>
        <item h="1" x="13"/>
        <item h="1" x="8"/>
        <item t="default"/>
      </items>
    </pivotField>
    <pivotField showAll="0"/>
    <pivotField showAll="0"/>
    <pivotField numFmtId="166" showAll="0"/>
    <pivotField numFmtId="9" showAll="0"/>
    <pivotField numFmtId="166" showAll="0"/>
    <pivotField dataField="1" numFmtId="166" showAll="0"/>
    <pivotField showAll="0" defaultSubtotal="0"/>
    <pivotField showAll="0" defaultSubtotal="0">
      <items count="14">
        <item x="0"/>
        <item x="1"/>
        <item x="2"/>
        <item x="3"/>
        <item x="4"/>
        <item x="5"/>
        <item x="6"/>
        <item x="7"/>
        <item x="8"/>
        <item x="9"/>
        <item x="10"/>
        <item x="11"/>
        <item x="12"/>
        <item x="13"/>
      </items>
    </pivotField>
  </pivotFields>
  <rowFields count="1">
    <field x="2"/>
  </rowFields>
  <rowItems count="4">
    <i>
      <x/>
    </i>
    <i>
      <x v="1"/>
    </i>
    <i>
      <x v="2"/>
    </i>
    <i t="grand">
      <x/>
    </i>
  </rowItems>
  <colItems count="1">
    <i/>
  </colItems>
  <dataFields count="1">
    <dataField name="Sum of Revenue" fld="10" baseField="0" baseItem="0" numFmtId="166"/>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475C3FF-F2BC-49CB-816E-40F2637DD6FF}" sourceName="Region">
  <pivotTables>
    <pivotTable tabId="6" name="PivotTable4"/>
    <pivotTable tabId="3" name="PivotTable1"/>
    <pivotTable tabId="4" name="PivotTable2"/>
    <pivotTable tabId="5" name="PivotTable3"/>
  </pivotTables>
  <data>
    <tabular pivotCacheId="1566167137">
      <items count="4">
        <i x="1" s="1"/>
        <i x="0" s="1"/>
        <i x="2" s="1"/>
        <i x="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E2E9CC8F-AD6B-4454-B831-B74D5E9C6779}" sourceName="Category">
  <pivotTables>
    <pivotTable tabId="6" name="PivotTable4"/>
    <pivotTable tabId="3" name="PivotTable1"/>
    <pivotTable tabId="4" name="PivotTable2"/>
    <pivotTable tabId="5" name="PivotTable3"/>
  </pivotTables>
  <data>
    <tabular pivotCacheId="1566167137">
      <items count="4">
        <i x="3" s="1"/>
        <i x="2" s="1" nd="1"/>
        <i x="0" s="1" nd="1"/>
        <i x="1"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7D3057C4-51EE-454B-A66C-4519C75E567B}" sourceName="Product">
  <pivotTables>
    <pivotTable tabId="6" name="PivotTable4"/>
    <pivotTable tabId="3" name="PivotTable1"/>
    <pivotTable tabId="4" name="PivotTable2"/>
    <pivotTable tabId="5" name="PivotTable3"/>
  </pivotTables>
  <data>
    <tabular pivotCacheId="1566167137">
      <items count="20">
        <i x="6"/>
        <i x="10"/>
        <i x="12"/>
        <i x="9"/>
        <i x="17"/>
        <i x="15"/>
        <i x="19"/>
        <i x="5" s="1"/>
        <i x="2"/>
        <i x="7"/>
        <i x="0"/>
        <i x="4"/>
        <i x="14"/>
        <i x="1"/>
        <i x="18"/>
        <i x="3"/>
        <i x="11"/>
        <i x="16"/>
        <i x="13"/>
        <i x="8"/>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1262059D-1990-43F7-8062-2D46CC8453DB}" cache="Slicer_Region" caption="Region" rowHeight="234950"/>
  <slicer name="Category" xr10:uid="{5AD6366A-E835-4D2C-BE18-7B8D6243AE3E}" cache="Slicer_Category" caption="Category" rowHeight="234950"/>
  <slicer name="Product" xr10:uid="{472F9153-55B3-4838-AE96-460504F4F312}" cache="Slicer_Product" caption="Product"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AEB6CD85-DF7E-422D-AD5B-E7CCA49FDCF1}" cache="Slicer_Region" caption="Region" rowHeight="234950"/>
  <slicer name="Category 1" xr10:uid="{40A6895F-6B9A-40B5-BC55-1387B2AFED8A}" cache="Slicer_Category" caption="Category" rowHeight="234950"/>
  <slicer name="Product 1" xr10:uid="{A9236C90-89E3-494D-9AAA-16B85E648818}" cache="Slicer_Product" caption="Product" startItem="13"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FE7029D-83F0-41C9-8F76-0A738026265D}" name="SalesData" displayName="SalesData" ref="A1:K251" totalsRowShown="0" headerRowDxfId="0" headerRowBorderDxfId="6" tableBorderDxfId="7">
  <autoFilter ref="A1:K251" xr:uid="{00000000-0009-0000-0000-000000000000}"/>
  <tableColumns count="11">
    <tableColumn id="1" xr3:uid="{34DC4D4A-793B-4E28-B50A-9775F5226F02}" name="Order_ID"/>
    <tableColumn id="2" xr3:uid="{97376532-50AE-4480-B7B3-0E8E0055D57D}" name="Order_Date" dataDxfId="5"/>
    <tableColumn id="3" xr3:uid="{CAF3999B-7662-44B1-8CDF-CF1FD4361854}" name="Region"/>
    <tableColumn id="4" xr3:uid="{3A133348-12AE-4169-AD82-4E8800DC0979}" name="Category"/>
    <tableColumn id="5" xr3:uid="{46EAA9F9-C4EA-4942-BB5B-9024EDFF9A49}" name="Product"/>
    <tableColumn id="6" xr3:uid="{F6427182-1983-49D4-AB0C-9BB04B378A20}" name="Customer"/>
    <tableColumn id="7" xr3:uid="{905A0CB1-3ED1-4D49-926D-3477F5966525}" name="Quantity"/>
    <tableColumn id="8" xr3:uid="{85D83B80-AC4C-4038-8BF9-9D11882EBE66}" name="Unit_Price" dataDxfId="4"/>
    <tableColumn id="9" xr3:uid="{E62D2D61-15B8-4409-856E-6FECEDCC8CB0}" name="Discount" dataDxfId="3"/>
    <tableColumn id="10" xr3:uid="{AD7A01A8-E544-43C0-9567-EAC612BFA60B}" name="Sales" dataDxfId="2"/>
    <tableColumn id="11" xr3:uid="{C429E2CE-B7D4-43B3-8FC6-791A48676975}" name="Revenue" dataDxfId="1"/>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520B4F-CA46-40AC-83DF-AF792ED2397D}">
  <dimension ref="A3:B15"/>
  <sheetViews>
    <sheetView workbookViewId="0">
      <selection activeCell="M5" sqref="M5"/>
    </sheetView>
  </sheetViews>
  <sheetFormatPr defaultRowHeight="14.4" x14ac:dyDescent="0.3"/>
  <cols>
    <col min="1" max="1" width="12.5546875" bestFit="1" customWidth="1"/>
    <col min="2" max="2" width="14.88671875" bestFit="1" customWidth="1"/>
  </cols>
  <sheetData>
    <row r="3" spans="1:2" x14ac:dyDescent="0.3">
      <c r="A3" s="9" t="s">
        <v>385</v>
      </c>
      <c r="B3" t="s">
        <v>398</v>
      </c>
    </row>
    <row r="4" spans="1:2" x14ac:dyDescent="0.3">
      <c r="A4" s="10" t="s">
        <v>387</v>
      </c>
      <c r="B4" s="2">
        <v>3857.64</v>
      </c>
    </row>
    <row r="5" spans="1:2" x14ac:dyDescent="0.3">
      <c r="A5" s="10" t="s">
        <v>388</v>
      </c>
      <c r="B5" s="2">
        <v>7133</v>
      </c>
    </row>
    <row r="6" spans="1:2" x14ac:dyDescent="0.3">
      <c r="A6" s="10" t="s">
        <v>389</v>
      </c>
      <c r="B6" s="2">
        <v>5393.97</v>
      </c>
    </row>
    <row r="7" spans="1:2" x14ac:dyDescent="0.3">
      <c r="A7" s="10" t="s">
        <v>390</v>
      </c>
      <c r="B7" s="2">
        <v>9951.89</v>
      </c>
    </row>
    <row r="8" spans="1:2" x14ac:dyDescent="0.3">
      <c r="A8" s="10" t="s">
        <v>391</v>
      </c>
      <c r="B8" s="2">
        <v>8708.52</v>
      </c>
    </row>
    <row r="9" spans="1:2" x14ac:dyDescent="0.3">
      <c r="A9" s="10" t="s">
        <v>392</v>
      </c>
      <c r="B9" s="2">
        <v>7010.68</v>
      </c>
    </row>
    <row r="10" spans="1:2" x14ac:dyDescent="0.3">
      <c r="A10" s="10" t="s">
        <v>393</v>
      </c>
      <c r="B10" s="2">
        <v>7551.73</v>
      </c>
    </row>
    <row r="11" spans="1:2" x14ac:dyDescent="0.3">
      <c r="A11" s="10" t="s">
        <v>394</v>
      </c>
      <c r="B11" s="2">
        <v>13127.43</v>
      </c>
    </row>
    <row r="12" spans="1:2" x14ac:dyDescent="0.3">
      <c r="A12" s="10" t="s">
        <v>395</v>
      </c>
      <c r="B12" s="2">
        <v>9583.75</v>
      </c>
    </row>
    <row r="13" spans="1:2" x14ac:dyDescent="0.3">
      <c r="A13" s="10" t="s">
        <v>396</v>
      </c>
      <c r="B13" s="2">
        <v>8754.7199999999993</v>
      </c>
    </row>
    <row r="14" spans="1:2" x14ac:dyDescent="0.3">
      <c r="A14" s="10" t="s">
        <v>397</v>
      </c>
      <c r="B14" s="2">
        <v>1817.18</v>
      </c>
    </row>
    <row r="15" spans="1:2" x14ac:dyDescent="0.3">
      <c r="A15" s="10" t="s">
        <v>386</v>
      </c>
      <c r="B15" s="2">
        <v>82890.510000000009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823842-AEF4-456B-A5B6-075FB0D83098}">
  <dimension ref="A3:B5"/>
  <sheetViews>
    <sheetView workbookViewId="0">
      <selection activeCell="B4" sqref="B4"/>
    </sheetView>
  </sheetViews>
  <sheetFormatPr defaultRowHeight="14.4" x14ac:dyDescent="0.3"/>
  <cols>
    <col min="1" max="1" width="12.5546875" bestFit="1" customWidth="1"/>
    <col min="2" max="2" width="14.88671875" bestFit="1" customWidth="1"/>
  </cols>
  <sheetData>
    <row r="3" spans="1:2" x14ac:dyDescent="0.3">
      <c r="A3" s="9" t="s">
        <v>385</v>
      </c>
      <c r="B3" t="s">
        <v>398</v>
      </c>
    </row>
    <row r="4" spans="1:2" x14ac:dyDescent="0.3">
      <c r="A4" s="10" t="s">
        <v>35</v>
      </c>
      <c r="B4" s="2">
        <v>82890.509999999995</v>
      </c>
    </row>
    <row r="5" spans="1:2" x14ac:dyDescent="0.3">
      <c r="A5" s="10" t="s">
        <v>386</v>
      </c>
      <c r="B5" s="2">
        <v>82890.509999999995</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65F5B7-E0AA-46CA-8BC8-41BBB56B4176}">
  <dimension ref="A3:B5"/>
  <sheetViews>
    <sheetView workbookViewId="0">
      <selection activeCell="A4" sqref="A4:B8"/>
    </sheetView>
  </sheetViews>
  <sheetFormatPr defaultRowHeight="14.4" x14ac:dyDescent="0.3"/>
  <cols>
    <col min="1" max="1" width="12.5546875" bestFit="1" customWidth="1"/>
    <col min="2" max="2" width="14.88671875" bestFit="1" customWidth="1"/>
  </cols>
  <sheetData>
    <row r="3" spans="1:2" x14ac:dyDescent="0.3">
      <c r="A3" s="9" t="s">
        <v>385</v>
      </c>
      <c r="B3" t="s">
        <v>398</v>
      </c>
    </row>
    <row r="4" spans="1:2" x14ac:dyDescent="0.3">
      <c r="A4" s="10" t="s">
        <v>36</v>
      </c>
      <c r="B4" s="2">
        <v>82890.509999999995</v>
      </c>
    </row>
    <row r="5" spans="1:2" x14ac:dyDescent="0.3">
      <c r="A5" s="10" t="s">
        <v>386</v>
      </c>
      <c r="B5" s="2">
        <v>82890.509999999995</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C254D1-2BAD-43F2-85E5-A3E1556A2BA7}">
  <dimension ref="A3:B7"/>
  <sheetViews>
    <sheetView workbookViewId="0">
      <selection activeCell="B5" sqref="B5"/>
    </sheetView>
  </sheetViews>
  <sheetFormatPr defaultRowHeight="14.4" x14ac:dyDescent="0.3"/>
  <cols>
    <col min="1" max="1" width="12.5546875" bestFit="1" customWidth="1"/>
    <col min="2" max="2" width="14.88671875" bestFit="1" customWidth="1"/>
  </cols>
  <sheetData>
    <row r="3" spans="1:2" x14ac:dyDescent="0.3">
      <c r="A3" s="9" t="s">
        <v>385</v>
      </c>
      <c r="B3" t="s">
        <v>398</v>
      </c>
    </row>
    <row r="4" spans="1:2" x14ac:dyDescent="0.3">
      <c r="A4" s="10" t="s">
        <v>17</v>
      </c>
      <c r="B4" s="2">
        <v>21700.42</v>
      </c>
    </row>
    <row r="5" spans="1:2" x14ac:dyDescent="0.3">
      <c r="A5" s="10" t="s">
        <v>12</v>
      </c>
      <c r="B5" s="2">
        <v>25793.41</v>
      </c>
    </row>
    <row r="6" spans="1:2" x14ac:dyDescent="0.3">
      <c r="A6" s="10" t="s">
        <v>25</v>
      </c>
      <c r="B6" s="2">
        <v>35396.68</v>
      </c>
    </row>
    <row r="7" spans="1:2" x14ac:dyDescent="0.3">
      <c r="A7" s="10" t="s">
        <v>386</v>
      </c>
      <c r="B7" s="2">
        <v>82890.510000000009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51"/>
  <sheetViews>
    <sheetView workbookViewId="0">
      <pane ySplit="1" topLeftCell="A2" activePane="bottomLeft" state="frozen"/>
      <selection pane="bottomLeft" activeCell="D14" sqref="D14"/>
    </sheetView>
  </sheetViews>
  <sheetFormatPr defaultRowHeight="14.4" x14ac:dyDescent="0.3"/>
  <cols>
    <col min="1" max="1" width="10.44140625" customWidth="1"/>
    <col min="2" max="2" width="21" customWidth="1"/>
    <col min="3" max="3" width="8.6640625" customWidth="1"/>
    <col min="4" max="5" width="17" customWidth="1"/>
    <col min="6" max="6" width="14" customWidth="1"/>
    <col min="7" max="7" width="10.21875" customWidth="1"/>
    <col min="8" max="8" width="14.88671875" customWidth="1"/>
    <col min="9" max="9" width="10.21875" customWidth="1"/>
    <col min="10" max="11" width="11" customWidth="1"/>
  </cols>
  <sheetData>
    <row r="1" spans="1:11" x14ac:dyDescent="0.3">
      <c r="A1" s="4" t="s">
        <v>0</v>
      </c>
      <c r="B1" s="4" t="s">
        <v>1</v>
      </c>
      <c r="C1" s="4" t="s">
        <v>2</v>
      </c>
      <c r="D1" s="4" t="s">
        <v>3</v>
      </c>
      <c r="E1" s="4" t="s">
        <v>4</v>
      </c>
      <c r="F1" s="4" t="s">
        <v>5</v>
      </c>
      <c r="G1" s="4" t="s">
        <v>6</v>
      </c>
      <c r="H1" s="4" t="s">
        <v>7</v>
      </c>
      <c r="I1" s="4" t="s">
        <v>8</v>
      </c>
      <c r="J1" s="4" t="s">
        <v>9</v>
      </c>
      <c r="K1" s="4" t="s">
        <v>10</v>
      </c>
    </row>
    <row r="2" spans="1:11" x14ac:dyDescent="0.3">
      <c r="A2" t="s">
        <v>11</v>
      </c>
      <c r="B2" s="1">
        <v>45658</v>
      </c>
      <c r="C2" t="s">
        <v>12</v>
      </c>
      <c r="D2" t="s">
        <v>13</v>
      </c>
      <c r="E2" t="s">
        <v>14</v>
      </c>
      <c r="F2" t="s">
        <v>15</v>
      </c>
      <c r="G2">
        <v>1</v>
      </c>
      <c r="H2" s="2">
        <v>4463.59</v>
      </c>
      <c r="I2" s="3">
        <v>0.05</v>
      </c>
      <c r="J2" s="2">
        <v>4463.59</v>
      </c>
      <c r="K2" s="2">
        <v>4240.41</v>
      </c>
    </row>
    <row r="3" spans="1:11" x14ac:dyDescent="0.3">
      <c r="A3" t="s">
        <v>16</v>
      </c>
      <c r="B3" s="1">
        <v>45658</v>
      </c>
      <c r="C3" t="s">
        <v>17</v>
      </c>
      <c r="D3" t="s">
        <v>18</v>
      </c>
      <c r="E3" t="s">
        <v>19</v>
      </c>
      <c r="F3" t="s">
        <v>20</v>
      </c>
      <c r="G3">
        <v>4</v>
      </c>
      <c r="H3" s="2">
        <v>11825.19</v>
      </c>
      <c r="I3" s="3">
        <v>0</v>
      </c>
      <c r="J3" s="2">
        <v>47300.76</v>
      </c>
      <c r="K3" s="2">
        <v>47300.76</v>
      </c>
    </row>
    <row r="4" spans="1:11" x14ac:dyDescent="0.3">
      <c r="A4" t="s">
        <v>21</v>
      </c>
      <c r="B4" s="1">
        <v>45664</v>
      </c>
      <c r="C4" t="s">
        <v>12</v>
      </c>
      <c r="D4" t="s">
        <v>18</v>
      </c>
      <c r="E4" t="s">
        <v>22</v>
      </c>
      <c r="F4" t="s">
        <v>23</v>
      </c>
      <c r="G4">
        <v>4</v>
      </c>
      <c r="H4" s="2">
        <v>1871.9</v>
      </c>
      <c r="I4" s="3">
        <v>0</v>
      </c>
      <c r="J4" s="2">
        <v>7487.6</v>
      </c>
      <c r="K4" s="2">
        <v>7487.6</v>
      </c>
    </row>
    <row r="5" spans="1:11" x14ac:dyDescent="0.3">
      <c r="A5" t="s">
        <v>24</v>
      </c>
      <c r="B5" s="1">
        <v>45666</v>
      </c>
      <c r="C5" t="s">
        <v>25</v>
      </c>
      <c r="D5" t="s">
        <v>18</v>
      </c>
      <c r="E5" t="s">
        <v>22</v>
      </c>
      <c r="F5" t="s">
        <v>26</v>
      </c>
      <c r="G5">
        <v>3</v>
      </c>
      <c r="H5" s="2">
        <v>1859.28</v>
      </c>
      <c r="I5" s="3">
        <v>0.15</v>
      </c>
      <c r="J5" s="2">
        <v>5577.84</v>
      </c>
      <c r="K5" s="2">
        <v>4741.16</v>
      </c>
    </row>
    <row r="6" spans="1:11" x14ac:dyDescent="0.3">
      <c r="A6" t="s">
        <v>27</v>
      </c>
      <c r="B6" s="1">
        <v>45666</v>
      </c>
      <c r="C6" t="s">
        <v>12</v>
      </c>
      <c r="D6" t="s">
        <v>28</v>
      </c>
      <c r="E6" t="s">
        <v>29</v>
      </c>
      <c r="F6" t="s">
        <v>30</v>
      </c>
      <c r="G6">
        <v>5</v>
      </c>
      <c r="H6" s="2">
        <v>6916.43</v>
      </c>
      <c r="I6" s="3">
        <v>0.05</v>
      </c>
      <c r="J6" s="2">
        <v>34582.17</v>
      </c>
      <c r="K6" s="2">
        <v>32853.07</v>
      </c>
    </row>
    <row r="7" spans="1:11" x14ac:dyDescent="0.3">
      <c r="A7" t="s">
        <v>31</v>
      </c>
      <c r="B7" s="1">
        <v>45669</v>
      </c>
      <c r="C7" t="s">
        <v>17</v>
      </c>
      <c r="D7" t="s">
        <v>18</v>
      </c>
      <c r="E7" t="s">
        <v>32</v>
      </c>
      <c r="F7" t="s">
        <v>33</v>
      </c>
      <c r="G7">
        <v>7</v>
      </c>
      <c r="H7" s="2">
        <v>502.11</v>
      </c>
      <c r="I7" s="3">
        <v>0.1</v>
      </c>
      <c r="J7" s="2">
        <v>3514.79</v>
      </c>
      <c r="K7" s="2">
        <v>3163.31</v>
      </c>
    </row>
    <row r="8" spans="1:11" x14ac:dyDescent="0.3">
      <c r="A8" t="s">
        <v>34</v>
      </c>
      <c r="B8" s="1">
        <v>45669</v>
      </c>
      <c r="C8" t="s">
        <v>25</v>
      </c>
      <c r="D8" t="s">
        <v>35</v>
      </c>
      <c r="E8" t="s">
        <v>36</v>
      </c>
      <c r="F8" t="s">
        <v>37</v>
      </c>
      <c r="G8">
        <v>2</v>
      </c>
      <c r="H8" s="2">
        <v>1928.82</v>
      </c>
      <c r="I8" s="3">
        <v>0</v>
      </c>
      <c r="J8" s="2">
        <v>3857.64</v>
      </c>
      <c r="K8" s="2">
        <v>3857.64</v>
      </c>
    </row>
    <row r="9" spans="1:11" x14ac:dyDescent="0.3">
      <c r="A9" t="s">
        <v>38</v>
      </c>
      <c r="B9" s="1">
        <v>45669</v>
      </c>
      <c r="C9" t="s">
        <v>25</v>
      </c>
      <c r="D9" t="s">
        <v>18</v>
      </c>
      <c r="E9" t="s">
        <v>19</v>
      </c>
      <c r="F9" t="s">
        <v>39</v>
      </c>
      <c r="G9">
        <v>5</v>
      </c>
      <c r="H9" s="2">
        <v>12378.1</v>
      </c>
      <c r="I9" s="3">
        <v>0.05</v>
      </c>
      <c r="J9" s="2">
        <v>61890.48</v>
      </c>
      <c r="K9" s="2">
        <v>58795.96</v>
      </c>
    </row>
    <row r="10" spans="1:11" x14ac:dyDescent="0.3">
      <c r="A10" t="s">
        <v>40</v>
      </c>
      <c r="B10" s="1">
        <v>45670</v>
      </c>
      <c r="C10" t="s">
        <v>41</v>
      </c>
      <c r="D10" t="s">
        <v>13</v>
      </c>
      <c r="E10" t="s">
        <v>42</v>
      </c>
      <c r="F10" t="s">
        <v>43</v>
      </c>
      <c r="G10">
        <v>5</v>
      </c>
      <c r="H10" s="2">
        <v>6510.98</v>
      </c>
      <c r="I10" s="3">
        <v>0.15</v>
      </c>
      <c r="J10" s="2">
        <v>32554.9</v>
      </c>
      <c r="K10" s="2">
        <v>27671.66</v>
      </c>
    </row>
    <row r="11" spans="1:11" x14ac:dyDescent="0.3">
      <c r="A11" t="s">
        <v>44</v>
      </c>
      <c r="B11" s="1">
        <v>45671</v>
      </c>
      <c r="C11" t="s">
        <v>41</v>
      </c>
      <c r="D11" t="s">
        <v>28</v>
      </c>
      <c r="E11" t="s">
        <v>45</v>
      </c>
      <c r="F11" t="s">
        <v>46</v>
      </c>
      <c r="G11">
        <v>6</v>
      </c>
      <c r="H11" s="2">
        <v>60812.89</v>
      </c>
      <c r="I11" s="3">
        <v>0.05</v>
      </c>
      <c r="J11" s="2">
        <v>364877.35</v>
      </c>
      <c r="K11" s="2">
        <v>346633.48</v>
      </c>
    </row>
    <row r="12" spans="1:11" x14ac:dyDescent="0.3">
      <c r="A12" t="s">
        <v>47</v>
      </c>
      <c r="B12" s="1">
        <v>45674</v>
      </c>
      <c r="C12" t="s">
        <v>25</v>
      </c>
      <c r="D12" t="s">
        <v>18</v>
      </c>
      <c r="E12" t="s">
        <v>22</v>
      </c>
      <c r="F12" t="s">
        <v>48</v>
      </c>
      <c r="G12">
        <v>4</v>
      </c>
      <c r="H12" s="2">
        <v>1888.54</v>
      </c>
      <c r="I12" s="3">
        <v>0.15</v>
      </c>
      <c r="J12" s="2">
        <v>7554.16</v>
      </c>
      <c r="K12" s="2">
        <v>6421.04</v>
      </c>
    </row>
    <row r="13" spans="1:11" x14ac:dyDescent="0.3">
      <c r="A13" t="s">
        <v>49</v>
      </c>
      <c r="B13" s="1">
        <v>45676</v>
      </c>
      <c r="C13" t="s">
        <v>25</v>
      </c>
      <c r="D13" t="s">
        <v>13</v>
      </c>
      <c r="E13" t="s">
        <v>50</v>
      </c>
      <c r="F13" t="s">
        <v>51</v>
      </c>
      <c r="G13">
        <v>1</v>
      </c>
      <c r="H13" s="2">
        <v>8332.6299999999992</v>
      </c>
      <c r="I13" s="3">
        <v>0.05</v>
      </c>
      <c r="J13" s="2">
        <v>8332.6299999999992</v>
      </c>
      <c r="K13" s="2">
        <v>7916</v>
      </c>
    </row>
    <row r="14" spans="1:11" x14ac:dyDescent="0.3">
      <c r="A14" t="s">
        <v>52</v>
      </c>
      <c r="B14" s="1">
        <v>45678</v>
      </c>
      <c r="C14" t="s">
        <v>17</v>
      </c>
      <c r="D14" t="s">
        <v>18</v>
      </c>
      <c r="E14" t="s">
        <v>53</v>
      </c>
      <c r="F14" t="s">
        <v>54</v>
      </c>
      <c r="G14">
        <v>5</v>
      </c>
      <c r="H14" s="2">
        <v>1708.83</v>
      </c>
      <c r="I14" s="3">
        <v>0.1</v>
      </c>
      <c r="J14" s="2">
        <v>8544.15</v>
      </c>
      <c r="K14" s="2">
        <v>7689.73</v>
      </c>
    </row>
    <row r="15" spans="1:11" x14ac:dyDescent="0.3">
      <c r="A15" t="s">
        <v>55</v>
      </c>
      <c r="B15" s="1">
        <v>45679</v>
      </c>
      <c r="C15" t="s">
        <v>25</v>
      </c>
      <c r="D15" t="s">
        <v>35</v>
      </c>
      <c r="E15" t="s">
        <v>56</v>
      </c>
      <c r="F15" t="s">
        <v>57</v>
      </c>
      <c r="G15">
        <v>4</v>
      </c>
      <c r="H15" s="2">
        <v>1802.54</v>
      </c>
      <c r="I15" s="3">
        <v>0.05</v>
      </c>
      <c r="J15" s="2">
        <v>7210.15</v>
      </c>
      <c r="K15" s="2">
        <v>6849.65</v>
      </c>
    </row>
    <row r="16" spans="1:11" x14ac:dyDescent="0.3">
      <c r="A16" t="s">
        <v>58</v>
      </c>
      <c r="B16" s="1">
        <v>45681</v>
      </c>
      <c r="C16" t="s">
        <v>41</v>
      </c>
      <c r="D16" t="s">
        <v>35</v>
      </c>
      <c r="E16" t="s">
        <v>56</v>
      </c>
      <c r="F16" t="s">
        <v>59</v>
      </c>
      <c r="G16">
        <v>6</v>
      </c>
      <c r="H16" s="2">
        <v>1932.7</v>
      </c>
      <c r="I16" s="3">
        <v>0.05</v>
      </c>
      <c r="J16" s="2">
        <v>11596.23</v>
      </c>
      <c r="K16" s="2">
        <v>11016.42</v>
      </c>
    </row>
    <row r="17" spans="1:11" x14ac:dyDescent="0.3">
      <c r="A17" t="s">
        <v>60</v>
      </c>
      <c r="B17" s="1">
        <v>45682</v>
      </c>
      <c r="C17" t="s">
        <v>12</v>
      </c>
      <c r="D17" t="s">
        <v>28</v>
      </c>
      <c r="E17" t="s">
        <v>45</v>
      </c>
      <c r="F17" t="s">
        <v>61</v>
      </c>
      <c r="G17">
        <v>7</v>
      </c>
      <c r="H17" s="2">
        <v>60727.73</v>
      </c>
      <c r="I17" s="3">
        <v>0.05</v>
      </c>
      <c r="J17" s="2">
        <v>425094.08</v>
      </c>
      <c r="K17" s="2">
        <v>403839.37</v>
      </c>
    </row>
    <row r="18" spans="1:11" x14ac:dyDescent="0.3">
      <c r="A18" t="s">
        <v>62</v>
      </c>
      <c r="B18" s="1">
        <v>45682</v>
      </c>
      <c r="C18" t="s">
        <v>17</v>
      </c>
      <c r="D18" t="s">
        <v>28</v>
      </c>
      <c r="E18" t="s">
        <v>45</v>
      </c>
      <c r="F18" t="s">
        <v>63</v>
      </c>
      <c r="G18">
        <v>1</v>
      </c>
      <c r="H18" s="2">
        <v>67131.23</v>
      </c>
      <c r="I18" s="3">
        <v>0.05</v>
      </c>
      <c r="J18" s="2">
        <v>67131.23</v>
      </c>
      <c r="K18" s="2">
        <v>63774.66</v>
      </c>
    </row>
    <row r="19" spans="1:11" x14ac:dyDescent="0.3">
      <c r="A19" t="s">
        <v>64</v>
      </c>
      <c r="B19" s="1">
        <v>45683</v>
      </c>
      <c r="C19" t="s">
        <v>17</v>
      </c>
      <c r="D19" t="s">
        <v>28</v>
      </c>
      <c r="E19" t="s">
        <v>29</v>
      </c>
      <c r="F19" t="s">
        <v>65</v>
      </c>
      <c r="G19">
        <v>7</v>
      </c>
      <c r="H19" s="2">
        <v>6700.9</v>
      </c>
      <c r="I19" s="3">
        <v>0</v>
      </c>
      <c r="J19" s="2">
        <v>46906.32</v>
      </c>
      <c r="K19" s="2">
        <v>46906.32</v>
      </c>
    </row>
    <row r="20" spans="1:11" x14ac:dyDescent="0.3">
      <c r="A20" t="s">
        <v>66</v>
      </c>
      <c r="B20" s="1">
        <v>45684</v>
      </c>
      <c r="C20" t="s">
        <v>17</v>
      </c>
      <c r="D20" t="s">
        <v>35</v>
      </c>
      <c r="E20" t="s">
        <v>67</v>
      </c>
      <c r="F20" t="s">
        <v>68</v>
      </c>
      <c r="G20">
        <v>7</v>
      </c>
      <c r="H20" s="2">
        <v>4321.3</v>
      </c>
      <c r="I20" s="3">
        <v>0.1</v>
      </c>
      <c r="J20" s="2">
        <v>30249.07</v>
      </c>
      <c r="K20" s="2">
        <v>27224.16</v>
      </c>
    </row>
    <row r="21" spans="1:11" x14ac:dyDescent="0.3">
      <c r="A21" t="s">
        <v>69</v>
      </c>
      <c r="B21" s="1">
        <v>45685</v>
      </c>
      <c r="C21" t="s">
        <v>25</v>
      </c>
      <c r="D21" t="s">
        <v>13</v>
      </c>
      <c r="E21" t="s">
        <v>70</v>
      </c>
      <c r="F21" t="s">
        <v>71</v>
      </c>
      <c r="G21">
        <v>3</v>
      </c>
      <c r="H21" s="2">
        <v>5273.37</v>
      </c>
      <c r="I21" s="3">
        <v>0</v>
      </c>
      <c r="J21" s="2">
        <v>15820.12</v>
      </c>
      <c r="K21" s="2">
        <v>15820.12</v>
      </c>
    </row>
    <row r="22" spans="1:11" x14ac:dyDescent="0.3">
      <c r="A22" t="s">
        <v>72</v>
      </c>
      <c r="B22" s="1">
        <v>45685</v>
      </c>
      <c r="C22" t="s">
        <v>25</v>
      </c>
      <c r="D22" t="s">
        <v>35</v>
      </c>
      <c r="E22" t="s">
        <v>67</v>
      </c>
      <c r="F22" t="s">
        <v>63</v>
      </c>
      <c r="G22">
        <v>7</v>
      </c>
      <c r="H22" s="2">
        <v>3973.89</v>
      </c>
      <c r="I22" s="3">
        <v>0.05</v>
      </c>
      <c r="J22" s="2">
        <v>27817.22</v>
      </c>
      <c r="K22" s="2">
        <v>26426.36</v>
      </c>
    </row>
    <row r="23" spans="1:11" x14ac:dyDescent="0.3">
      <c r="A23" t="s">
        <v>73</v>
      </c>
      <c r="B23" s="1">
        <v>45694</v>
      </c>
      <c r="C23" t="s">
        <v>41</v>
      </c>
      <c r="D23" t="s">
        <v>35</v>
      </c>
      <c r="E23" t="s">
        <v>74</v>
      </c>
      <c r="F23" t="s">
        <v>75</v>
      </c>
      <c r="G23">
        <v>5</v>
      </c>
      <c r="H23" s="2">
        <v>835.02</v>
      </c>
      <c r="I23" s="3">
        <v>0.05</v>
      </c>
      <c r="J23" s="2">
        <v>4175.12</v>
      </c>
      <c r="K23" s="2">
        <v>3966.37</v>
      </c>
    </row>
    <row r="24" spans="1:11" x14ac:dyDescent="0.3">
      <c r="A24" t="s">
        <v>76</v>
      </c>
      <c r="B24" s="1">
        <v>45695</v>
      </c>
      <c r="C24" t="s">
        <v>25</v>
      </c>
      <c r="D24" t="s">
        <v>18</v>
      </c>
      <c r="E24" t="s">
        <v>22</v>
      </c>
      <c r="F24" t="s">
        <v>77</v>
      </c>
      <c r="G24">
        <v>4</v>
      </c>
      <c r="H24" s="2">
        <v>1708.3</v>
      </c>
      <c r="I24" s="3">
        <v>0.15</v>
      </c>
      <c r="J24" s="2">
        <v>6833.2</v>
      </c>
      <c r="K24" s="2">
        <v>5808.22</v>
      </c>
    </row>
    <row r="25" spans="1:11" x14ac:dyDescent="0.3">
      <c r="A25" t="s">
        <v>78</v>
      </c>
      <c r="B25" s="1">
        <v>45695</v>
      </c>
      <c r="C25" t="s">
        <v>17</v>
      </c>
      <c r="D25" t="s">
        <v>35</v>
      </c>
      <c r="E25" t="s">
        <v>56</v>
      </c>
      <c r="F25" t="s">
        <v>63</v>
      </c>
      <c r="G25">
        <v>7</v>
      </c>
      <c r="H25" s="2">
        <v>1852.27</v>
      </c>
      <c r="I25" s="3">
        <v>0.1</v>
      </c>
      <c r="J25" s="2">
        <v>12965.91</v>
      </c>
      <c r="K25" s="2">
        <v>11669.32</v>
      </c>
    </row>
    <row r="26" spans="1:11" x14ac:dyDescent="0.3">
      <c r="A26" t="s">
        <v>79</v>
      </c>
      <c r="B26" s="1">
        <v>45696</v>
      </c>
      <c r="C26" t="s">
        <v>12</v>
      </c>
      <c r="D26" t="s">
        <v>13</v>
      </c>
      <c r="E26" t="s">
        <v>14</v>
      </c>
      <c r="F26" t="s">
        <v>80</v>
      </c>
      <c r="G26">
        <v>1</v>
      </c>
      <c r="H26" s="2">
        <v>4238.37</v>
      </c>
      <c r="I26" s="3">
        <v>0.1</v>
      </c>
      <c r="J26" s="2">
        <v>4238.37</v>
      </c>
      <c r="K26" s="2">
        <v>3814.53</v>
      </c>
    </row>
    <row r="27" spans="1:11" x14ac:dyDescent="0.3">
      <c r="A27" t="s">
        <v>81</v>
      </c>
      <c r="B27" s="1">
        <v>45696</v>
      </c>
      <c r="C27" t="s">
        <v>17</v>
      </c>
      <c r="D27" t="s">
        <v>18</v>
      </c>
      <c r="E27" t="s">
        <v>82</v>
      </c>
      <c r="F27" t="s">
        <v>83</v>
      </c>
      <c r="G27">
        <v>2</v>
      </c>
      <c r="H27" s="2">
        <v>8935.1299999999992</v>
      </c>
      <c r="I27" s="3">
        <v>0</v>
      </c>
      <c r="J27" s="2">
        <v>17870.259999999998</v>
      </c>
      <c r="K27" s="2">
        <v>17870.259999999998</v>
      </c>
    </row>
    <row r="28" spans="1:11" x14ac:dyDescent="0.3">
      <c r="A28" t="s">
        <v>84</v>
      </c>
      <c r="B28" s="1">
        <v>45696</v>
      </c>
      <c r="C28" t="s">
        <v>25</v>
      </c>
      <c r="D28" t="s">
        <v>18</v>
      </c>
      <c r="E28" t="s">
        <v>22</v>
      </c>
      <c r="F28" t="s">
        <v>85</v>
      </c>
      <c r="G28">
        <v>5</v>
      </c>
      <c r="H28" s="2">
        <v>1766.58</v>
      </c>
      <c r="I28" s="3">
        <v>0.15</v>
      </c>
      <c r="J28" s="2">
        <v>8832.91</v>
      </c>
      <c r="K28" s="2">
        <v>7507.97</v>
      </c>
    </row>
    <row r="29" spans="1:11" x14ac:dyDescent="0.3">
      <c r="A29" t="s">
        <v>86</v>
      </c>
      <c r="B29" s="1">
        <v>45697</v>
      </c>
      <c r="C29" t="s">
        <v>17</v>
      </c>
      <c r="D29" t="s">
        <v>28</v>
      </c>
      <c r="E29" t="s">
        <v>87</v>
      </c>
      <c r="F29" t="s">
        <v>88</v>
      </c>
      <c r="G29">
        <v>2</v>
      </c>
      <c r="H29" s="2">
        <v>2528.5300000000002</v>
      </c>
      <c r="I29" s="3">
        <v>0.1</v>
      </c>
      <c r="J29" s="2">
        <v>5057.0600000000004</v>
      </c>
      <c r="K29" s="2">
        <v>4551.3500000000004</v>
      </c>
    </row>
    <row r="30" spans="1:11" x14ac:dyDescent="0.3">
      <c r="A30" t="s">
        <v>89</v>
      </c>
      <c r="B30" s="1">
        <v>45698</v>
      </c>
      <c r="C30" t="s">
        <v>12</v>
      </c>
      <c r="D30" t="s">
        <v>35</v>
      </c>
      <c r="E30" t="s">
        <v>67</v>
      </c>
      <c r="F30" t="s">
        <v>90</v>
      </c>
      <c r="G30">
        <v>1</v>
      </c>
      <c r="H30" s="2">
        <v>4052.79</v>
      </c>
      <c r="I30" s="3">
        <v>0.05</v>
      </c>
      <c r="J30" s="2">
        <v>4052.79</v>
      </c>
      <c r="K30" s="2">
        <v>3850.15</v>
      </c>
    </row>
    <row r="31" spans="1:11" x14ac:dyDescent="0.3">
      <c r="A31" t="s">
        <v>91</v>
      </c>
      <c r="B31" s="1">
        <v>45699</v>
      </c>
      <c r="C31" t="s">
        <v>41</v>
      </c>
      <c r="D31" t="s">
        <v>18</v>
      </c>
      <c r="E31" t="s">
        <v>32</v>
      </c>
      <c r="F31" t="s">
        <v>90</v>
      </c>
      <c r="G31">
        <v>6</v>
      </c>
      <c r="H31" s="2">
        <v>535.19000000000005</v>
      </c>
      <c r="I31" s="3">
        <v>0.05</v>
      </c>
      <c r="J31" s="2">
        <v>3211.12</v>
      </c>
      <c r="K31" s="2">
        <v>3050.56</v>
      </c>
    </row>
    <row r="32" spans="1:11" x14ac:dyDescent="0.3">
      <c r="A32" t="s">
        <v>92</v>
      </c>
      <c r="B32" s="1">
        <v>45701</v>
      </c>
      <c r="C32" t="s">
        <v>41</v>
      </c>
      <c r="D32" t="s">
        <v>13</v>
      </c>
      <c r="E32" t="s">
        <v>14</v>
      </c>
      <c r="F32" t="s">
        <v>57</v>
      </c>
      <c r="G32">
        <v>5</v>
      </c>
      <c r="H32" s="2">
        <v>4767.45</v>
      </c>
      <c r="I32" s="3">
        <v>0.1</v>
      </c>
      <c r="J32" s="2">
        <v>23837.26</v>
      </c>
      <c r="K32" s="2">
        <v>21453.53</v>
      </c>
    </row>
    <row r="33" spans="1:11" x14ac:dyDescent="0.3">
      <c r="A33" t="s">
        <v>93</v>
      </c>
      <c r="B33" s="1">
        <v>45704</v>
      </c>
      <c r="C33" t="s">
        <v>41</v>
      </c>
      <c r="D33" t="s">
        <v>28</v>
      </c>
      <c r="E33" t="s">
        <v>29</v>
      </c>
      <c r="F33" t="s">
        <v>94</v>
      </c>
      <c r="G33">
        <v>7</v>
      </c>
      <c r="H33" s="2">
        <v>6809.19</v>
      </c>
      <c r="I33" s="3">
        <v>0</v>
      </c>
      <c r="J33" s="2">
        <v>47664.31</v>
      </c>
      <c r="K33" s="2">
        <v>47664.31</v>
      </c>
    </row>
    <row r="34" spans="1:11" x14ac:dyDescent="0.3">
      <c r="A34" t="s">
        <v>95</v>
      </c>
      <c r="B34" s="1">
        <v>45704</v>
      </c>
      <c r="C34" t="s">
        <v>17</v>
      </c>
      <c r="D34" t="s">
        <v>18</v>
      </c>
      <c r="E34" t="s">
        <v>53</v>
      </c>
      <c r="F34" t="s">
        <v>96</v>
      </c>
      <c r="G34">
        <v>6</v>
      </c>
      <c r="H34" s="2">
        <v>1670.88</v>
      </c>
      <c r="I34" s="3">
        <v>0.05</v>
      </c>
      <c r="J34" s="2">
        <v>10025.31</v>
      </c>
      <c r="K34" s="2">
        <v>9524.0400000000009</v>
      </c>
    </row>
    <row r="35" spans="1:11" x14ac:dyDescent="0.3">
      <c r="A35" t="s">
        <v>97</v>
      </c>
      <c r="B35" s="1">
        <v>45706</v>
      </c>
      <c r="C35" t="s">
        <v>17</v>
      </c>
      <c r="D35" t="s">
        <v>18</v>
      </c>
      <c r="E35" t="s">
        <v>32</v>
      </c>
      <c r="F35" t="s">
        <v>68</v>
      </c>
      <c r="G35">
        <v>6</v>
      </c>
      <c r="H35" s="2">
        <v>477.61</v>
      </c>
      <c r="I35" s="3">
        <v>0</v>
      </c>
      <c r="J35" s="2">
        <v>2865.65</v>
      </c>
      <c r="K35" s="2">
        <v>2865.65</v>
      </c>
    </row>
    <row r="36" spans="1:11" x14ac:dyDescent="0.3">
      <c r="A36" t="s">
        <v>98</v>
      </c>
      <c r="B36" s="1">
        <v>45707</v>
      </c>
      <c r="C36" t="s">
        <v>12</v>
      </c>
      <c r="D36" t="s">
        <v>35</v>
      </c>
      <c r="E36" t="s">
        <v>36</v>
      </c>
      <c r="F36" t="s">
        <v>99</v>
      </c>
      <c r="G36">
        <v>4</v>
      </c>
      <c r="H36" s="2">
        <v>1877.1</v>
      </c>
      <c r="I36" s="3">
        <v>0.05</v>
      </c>
      <c r="J36" s="2">
        <v>7508.42</v>
      </c>
      <c r="K36" s="2">
        <v>7133</v>
      </c>
    </row>
    <row r="37" spans="1:11" x14ac:dyDescent="0.3">
      <c r="A37" t="s">
        <v>100</v>
      </c>
      <c r="B37" s="1">
        <v>45708</v>
      </c>
      <c r="C37" t="s">
        <v>12</v>
      </c>
      <c r="D37" t="s">
        <v>28</v>
      </c>
      <c r="E37" t="s">
        <v>101</v>
      </c>
      <c r="F37" t="s">
        <v>102</v>
      </c>
      <c r="G37">
        <v>7</v>
      </c>
      <c r="H37" s="2">
        <v>20776.939999999999</v>
      </c>
      <c r="I37" s="3">
        <v>0.05</v>
      </c>
      <c r="J37" s="2">
        <v>145438.56</v>
      </c>
      <c r="K37" s="2">
        <v>138166.63</v>
      </c>
    </row>
    <row r="38" spans="1:11" x14ac:dyDescent="0.3">
      <c r="A38" t="s">
        <v>103</v>
      </c>
      <c r="B38" s="1">
        <v>45709</v>
      </c>
      <c r="C38" t="s">
        <v>41</v>
      </c>
      <c r="D38" t="s">
        <v>35</v>
      </c>
      <c r="E38" t="s">
        <v>74</v>
      </c>
      <c r="F38" t="s">
        <v>104</v>
      </c>
      <c r="G38">
        <v>6</v>
      </c>
      <c r="H38" s="2">
        <v>916.33</v>
      </c>
      <c r="I38" s="3">
        <v>0</v>
      </c>
      <c r="J38" s="2">
        <v>5497.99</v>
      </c>
      <c r="K38" s="2">
        <v>5497.99</v>
      </c>
    </row>
    <row r="39" spans="1:11" x14ac:dyDescent="0.3">
      <c r="A39" t="s">
        <v>105</v>
      </c>
      <c r="B39" s="1">
        <v>45711</v>
      </c>
      <c r="C39" t="s">
        <v>25</v>
      </c>
      <c r="D39" t="s">
        <v>13</v>
      </c>
      <c r="E39" t="s">
        <v>14</v>
      </c>
      <c r="F39" t="s">
        <v>106</v>
      </c>
      <c r="G39">
        <v>4</v>
      </c>
      <c r="H39" s="2">
        <v>4271.21</v>
      </c>
      <c r="I39" s="3">
        <v>0.1</v>
      </c>
      <c r="J39" s="2">
        <v>17084.84</v>
      </c>
      <c r="K39" s="2">
        <v>15376.36</v>
      </c>
    </row>
    <row r="40" spans="1:11" x14ac:dyDescent="0.3">
      <c r="A40" t="s">
        <v>107</v>
      </c>
      <c r="B40" s="1">
        <v>45712</v>
      </c>
      <c r="C40" t="s">
        <v>17</v>
      </c>
      <c r="D40" t="s">
        <v>13</v>
      </c>
      <c r="E40" t="s">
        <v>70</v>
      </c>
      <c r="F40" t="s">
        <v>108</v>
      </c>
      <c r="G40">
        <v>7</v>
      </c>
      <c r="H40" s="2">
        <v>5150.62</v>
      </c>
      <c r="I40" s="3">
        <v>0</v>
      </c>
      <c r="J40" s="2">
        <v>36054.370000000003</v>
      </c>
      <c r="K40" s="2">
        <v>36054.370000000003</v>
      </c>
    </row>
    <row r="41" spans="1:11" x14ac:dyDescent="0.3">
      <c r="A41" t="s">
        <v>109</v>
      </c>
      <c r="B41" s="1">
        <v>45712</v>
      </c>
      <c r="C41" t="s">
        <v>17</v>
      </c>
      <c r="D41" t="s">
        <v>13</v>
      </c>
      <c r="E41" t="s">
        <v>110</v>
      </c>
      <c r="F41" t="s">
        <v>111</v>
      </c>
      <c r="G41">
        <v>6</v>
      </c>
      <c r="H41" s="2">
        <v>2318.8000000000002</v>
      </c>
      <c r="I41" s="3">
        <v>0</v>
      </c>
      <c r="J41" s="2">
        <v>13912.78</v>
      </c>
      <c r="K41" s="2">
        <v>13912.78</v>
      </c>
    </row>
    <row r="42" spans="1:11" x14ac:dyDescent="0.3">
      <c r="A42" t="s">
        <v>112</v>
      </c>
      <c r="B42" s="1">
        <v>45713</v>
      </c>
      <c r="C42" t="s">
        <v>25</v>
      </c>
      <c r="D42" t="s">
        <v>28</v>
      </c>
      <c r="E42" t="s">
        <v>113</v>
      </c>
      <c r="F42" t="s">
        <v>114</v>
      </c>
      <c r="G42">
        <v>1</v>
      </c>
      <c r="H42" s="2">
        <v>27915.53</v>
      </c>
      <c r="I42" s="3">
        <v>0.1</v>
      </c>
      <c r="J42" s="2">
        <v>27915.53</v>
      </c>
      <c r="K42" s="2">
        <v>25123.98</v>
      </c>
    </row>
    <row r="43" spans="1:11" x14ac:dyDescent="0.3">
      <c r="A43" t="s">
        <v>115</v>
      </c>
      <c r="B43" s="1">
        <v>45715</v>
      </c>
      <c r="C43" t="s">
        <v>41</v>
      </c>
      <c r="D43" t="s">
        <v>18</v>
      </c>
      <c r="E43" t="s">
        <v>32</v>
      </c>
      <c r="F43" t="s">
        <v>116</v>
      </c>
      <c r="G43">
        <v>5</v>
      </c>
      <c r="H43" s="2">
        <v>460.91</v>
      </c>
      <c r="I43" s="3">
        <v>0.05</v>
      </c>
      <c r="J43" s="2">
        <v>2304.54</v>
      </c>
      <c r="K43" s="2">
        <v>2189.31</v>
      </c>
    </row>
    <row r="44" spans="1:11" x14ac:dyDescent="0.3">
      <c r="A44" t="s">
        <v>117</v>
      </c>
      <c r="B44" s="1">
        <v>45715</v>
      </c>
      <c r="C44" t="s">
        <v>41</v>
      </c>
      <c r="D44" t="s">
        <v>13</v>
      </c>
      <c r="E44" t="s">
        <v>70</v>
      </c>
      <c r="F44" t="s">
        <v>118</v>
      </c>
      <c r="G44">
        <v>1</v>
      </c>
      <c r="H44" s="2">
        <v>5449.22</v>
      </c>
      <c r="I44" s="3">
        <v>0</v>
      </c>
      <c r="J44" s="2">
        <v>5449.22</v>
      </c>
      <c r="K44" s="2">
        <v>5449.22</v>
      </c>
    </row>
    <row r="45" spans="1:11" x14ac:dyDescent="0.3">
      <c r="A45" t="s">
        <v>119</v>
      </c>
      <c r="B45" s="1">
        <v>45716</v>
      </c>
      <c r="C45" t="s">
        <v>17</v>
      </c>
      <c r="D45" t="s">
        <v>13</v>
      </c>
      <c r="E45" t="s">
        <v>70</v>
      </c>
      <c r="F45" t="s">
        <v>120</v>
      </c>
      <c r="G45">
        <v>6</v>
      </c>
      <c r="H45" s="2">
        <v>5352.44</v>
      </c>
      <c r="I45" s="3">
        <v>0.05</v>
      </c>
      <c r="J45" s="2">
        <v>32114.62</v>
      </c>
      <c r="K45" s="2">
        <v>30508.89</v>
      </c>
    </row>
    <row r="46" spans="1:11" x14ac:dyDescent="0.3">
      <c r="A46" t="s">
        <v>121</v>
      </c>
      <c r="B46" s="1">
        <v>45717</v>
      </c>
      <c r="C46" t="s">
        <v>41</v>
      </c>
      <c r="D46" t="s">
        <v>18</v>
      </c>
      <c r="E46" t="s">
        <v>32</v>
      </c>
      <c r="F46" t="s">
        <v>122</v>
      </c>
      <c r="G46">
        <v>4</v>
      </c>
      <c r="H46" s="2">
        <v>486.13</v>
      </c>
      <c r="I46" s="3">
        <v>0.1</v>
      </c>
      <c r="J46" s="2">
        <v>1944.53</v>
      </c>
      <c r="K46" s="2">
        <v>1750.08</v>
      </c>
    </row>
    <row r="47" spans="1:11" x14ac:dyDescent="0.3">
      <c r="A47" t="s">
        <v>123</v>
      </c>
      <c r="B47" s="1">
        <v>45717</v>
      </c>
      <c r="C47" t="s">
        <v>12</v>
      </c>
      <c r="D47" t="s">
        <v>13</v>
      </c>
      <c r="E47" t="s">
        <v>70</v>
      </c>
      <c r="F47" t="s">
        <v>43</v>
      </c>
      <c r="G47">
        <v>7</v>
      </c>
      <c r="H47" s="2">
        <v>5640.79</v>
      </c>
      <c r="I47" s="3">
        <v>0.1</v>
      </c>
      <c r="J47" s="2">
        <v>39485.5</v>
      </c>
      <c r="K47" s="2">
        <v>35536.949999999997</v>
      </c>
    </row>
    <row r="48" spans="1:11" x14ac:dyDescent="0.3">
      <c r="A48" t="s">
        <v>124</v>
      </c>
      <c r="B48" s="1">
        <v>45718</v>
      </c>
      <c r="C48" t="s">
        <v>17</v>
      </c>
      <c r="D48" t="s">
        <v>13</v>
      </c>
      <c r="E48" t="s">
        <v>14</v>
      </c>
      <c r="F48" t="s">
        <v>63</v>
      </c>
      <c r="G48">
        <v>1</v>
      </c>
      <c r="H48" s="2">
        <v>4807.9799999999996</v>
      </c>
      <c r="I48" s="3">
        <v>0.15</v>
      </c>
      <c r="J48" s="2">
        <v>4807.9799999999996</v>
      </c>
      <c r="K48" s="2">
        <v>4086.78</v>
      </c>
    </row>
    <row r="49" spans="1:11" x14ac:dyDescent="0.3">
      <c r="A49" t="s">
        <v>125</v>
      </c>
      <c r="B49" s="1">
        <v>45719</v>
      </c>
      <c r="C49" t="s">
        <v>41</v>
      </c>
      <c r="D49" t="s">
        <v>35</v>
      </c>
      <c r="E49" t="s">
        <v>56</v>
      </c>
      <c r="F49" t="s">
        <v>59</v>
      </c>
      <c r="G49">
        <v>4</v>
      </c>
      <c r="H49" s="2">
        <v>1751.3</v>
      </c>
      <c r="I49" s="3">
        <v>0</v>
      </c>
      <c r="J49" s="2">
        <v>7005.19</v>
      </c>
      <c r="K49" s="2">
        <v>7005.19</v>
      </c>
    </row>
    <row r="50" spans="1:11" x14ac:dyDescent="0.3">
      <c r="A50" t="s">
        <v>126</v>
      </c>
      <c r="B50" s="1">
        <v>45720</v>
      </c>
      <c r="C50" t="s">
        <v>12</v>
      </c>
      <c r="D50" t="s">
        <v>35</v>
      </c>
      <c r="E50" t="s">
        <v>56</v>
      </c>
      <c r="F50" t="s">
        <v>127</v>
      </c>
      <c r="G50">
        <v>1</v>
      </c>
      <c r="H50" s="2">
        <v>1816.5</v>
      </c>
      <c r="I50" s="3">
        <v>0.1</v>
      </c>
      <c r="J50" s="2">
        <v>1816.5</v>
      </c>
      <c r="K50" s="2">
        <v>1634.85</v>
      </c>
    </row>
    <row r="51" spans="1:11" x14ac:dyDescent="0.3">
      <c r="A51" t="s">
        <v>128</v>
      </c>
      <c r="B51" s="1">
        <v>45721</v>
      </c>
      <c r="C51" t="s">
        <v>12</v>
      </c>
      <c r="D51" t="s">
        <v>18</v>
      </c>
      <c r="E51" t="s">
        <v>22</v>
      </c>
      <c r="F51" t="s">
        <v>68</v>
      </c>
      <c r="G51">
        <v>5</v>
      </c>
      <c r="H51" s="2">
        <v>1826</v>
      </c>
      <c r="I51" s="3">
        <v>0.05</v>
      </c>
      <c r="J51" s="2">
        <v>9129.98</v>
      </c>
      <c r="K51" s="2">
        <v>8673.48</v>
      </c>
    </row>
    <row r="52" spans="1:11" x14ac:dyDescent="0.3">
      <c r="A52" t="s">
        <v>129</v>
      </c>
      <c r="B52" s="1">
        <v>45722</v>
      </c>
      <c r="C52" t="s">
        <v>12</v>
      </c>
      <c r="D52" t="s">
        <v>28</v>
      </c>
      <c r="E52" t="s">
        <v>101</v>
      </c>
      <c r="F52" t="s">
        <v>111</v>
      </c>
      <c r="G52">
        <v>3</v>
      </c>
      <c r="H52" s="2">
        <v>23128.65</v>
      </c>
      <c r="I52" s="3">
        <v>0.05</v>
      </c>
      <c r="J52" s="2">
        <v>69385.95</v>
      </c>
      <c r="K52" s="2">
        <v>65916.66</v>
      </c>
    </row>
    <row r="53" spans="1:11" x14ac:dyDescent="0.3">
      <c r="A53" t="s">
        <v>130</v>
      </c>
      <c r="B53" s="1">
        <v>45723</v>
      </c>
      <c r="C53" t="s">
        <v>25</v>
      </c>
      <c r="D53" t="s">
        <v>35</v>
      </c>
      <c r="E53" t="s">
        <v>131</v>
      </c>
      <c r="F53" t="s">
        <v>132</v>
      </c>
      <c r="G53">
        <v>7</v>
      </c>
      <c r="H53" s="2">
        <v>3382.26</v>
      </c>
      <c r="I53" s="3">
        <v>0</v>
      </c>
      <c r="J53" s="2">
        <v>23675.83</v>
      </c>
      <c r="K53" s="2">
        <v>23675.83</v>
      </c>
    </row>
    <row r="54" spans="1:11" x14ac:dyDescent="0.3">
      <c r="A54" t="s">
        <v>133</v>
      </c>
      <c r="B54" s="1">
        <v>45726</v>
      </c>
      <c r="C54" t="s">
        <v>17</v>
      </c>
      <c r="D54" t="s">
        <v>35</v>
      </c>
      <c r="E54" t="s">
        <v>36</v>
      </c>
      <c r="F54" t="s">
        <v>33</v>
      </c>
      <c r="G54">
        <v>3</v>
      </c>
      <c r="H54" s="2">
        <v>1797.99</v>
      </c>
      <c r="I54" s="3">
        <v>0</v>
      </c>
      <c r="J54" s="2">
        <v>5393.97</v>
      </c>
      <c r="K54" s="2">
        <v>5393.97</v>
      </c>
    </row>
    <row r="55" spans="1:11" x14ac:dyDescent="0.3">
      <c r="A55" t="s">
        <v>134</v>
      </c>
      <c r="B55" s="1">
        <v>45727</v>
      </c>
      <c r="C55" t="s">
        <v>17</v>
      </c>
      <c r="D55" t="s">
        <v>28</v>
      </c>
      <c r="E55" t="s">
        <v>45</v>
      </c>
      <c r="F55" t="s">
        <v>106</v>
      </c>
      <c r="G55">
        <v>1</v>
      </c>
      <c r="H55" s="2">
        <v>59878.36</v>
      </c>
      <c r="I55" s="3">
        <v>0</v>
      </c>
      <c r="J55" s="2">
        <v>59878.36</v>
      </c>
      <c r="K55" s="2">
        <v>59878.36</v>
      </c>
    </row>
    <row r="56" spans="1:11" x14ac:dyDescent="0.3">
      <c r="A56" t="s">
        <v>135</v>
      </c>
      <c r="B56" s="1">
        <v>45730</v>
      </c>
      <c r="C56" t="s">
        <v>12</v>
      </c>
      <c r="D56" t="s">
        <v>13</v>
      </c>
      <c r="E56" t="s">
        <v>70</v>
      </c>
      <c r="F56" t="s">
        <v>111</v>
      </c>
      <c r="G56">
        <v>5</v>
      </c>
      <c r="H56" s="2">
        <v>5196.1099999999997</v>
      </c>
      <c r="I56" s="3">
        <v>0.05</v>
      </c>
      <c r="J56" s="2">
        <v>25980.560000000001</v>
      </c>
      <c r="K56" s="2">
        <v>24681.53</v>
      </c>
    </row>
    <row r="57" spans="1:11" x14ac:dyDescent="0.3">
      <c r="A57" t="s">
        <v>136</v>
      </c>
      <c r="B57" s="1">
        <v>45732</v>
      </c>
      <c r="C57" t="s">
        <v>12</v>
      </c>
      <c r="D57" t="s">
        <v>18</v>
      </c>
      <c r="E57" t="s">
        <v>19</v>
      </c>
      <c r="F57" t="s">
        <v>137</v>
      </c>
      <c r="G57">
        <v>7</v>
      </c>
      <c r="H57" s="2">
        <v>11266.88</v>
      </c>
      <c r="I57" s="3">
        <v>0.1</v>
      </c>
      <c r="J57" s="2">
        <v>78868.14</v>
      </c>
      <c r="K57" s="2">
        <v>70981.320000000007</v>
      </c>
    </row>
    <row r="58" spans="1:11" x14ac:dyDescent="0.3">
      <c r="A58" t="s">
        <v>138</v>
      </c>
      <c r="B58" s="1">
        <v>45737</v>
      </c>
      <c r="C58" t="s">
        <v>25</v>
      </c>
      <c r="D58" t="s">
        <v>35</v>
      </c>
      <c r="E58" t="s">
        <v>56</v>
      </c>
      <c r="F58" t="s">
        <v>139</v>
      </c>
      <c r="G58">
        <v>1</v>
      </c>
      <c r="H58" s="2">
        <v>1685.6</v>
      </c>
      <c r="I58" s="3">
        <v>0.05</v>
      </c>
      <c r="J58" s="2">
        <v>1685.6</v>
      </c>
      <c r="K58" s="2">
        <v>1601.32</v>
      </c>
    </row>
    <row r="59" spans="1:11" x14ac:dyDescent="0.3">
      <c r="A59" t="s">
        <v>140</v>
      </c>
      <c r="B59" s="1">
        <v>45740</v>
      </c>
      <c r="C59" t="s">
        <v>25</v>
      </c>
      <c r="D59" t="s">
        <v>18</v>
      </c>
      <c r="E59" t="s">
        <v>82</v>
      </c>
      <c r="F59" t="s">
        <v>141</v>
      </c>
      <c r="G59">
        <v>7</v>
      </c>
      <c r="H59" s="2">
        <v>8833.7999999999993</v>
      </c>
      <c r="I59" s="3">
        <v>0.05</v>
      </c>
      <c r="J59" s="2">
        <v>61836.58</v>
      </c>
      <c r="K59" s="2">
        <v>58744.75</v>
      </c>
    </row>
    <row r="60" spans="1:11" x14ac:dyDescent="0.3">
      <c r="A60" t="s">
        <v>142</v>
      </c>
      <c r="B60" s="1">
        <v>45742</v>
      </c>
      <c r="C60" t="s">
        <v>25</v>
      </c>
      <c r="D60" t="s">
        <v>28</v>
      </c>
      <c r="E60" t="s">
        <v>101</v>
      </c>
      <c r="F60" t="s">
        <v>143</v>
      </c>
      <c r="G60">
        <v>5</v>
      </c>
      <c r="H60" s="2">
        <v>22904.93</v>
      </c>
      <c r="I60" s="3">
        <v>0.05</v>
      </c>
      <c r="J60" s="2">
        <v>114524.63</v>
      </c>
      <c r="K60" s="2">
        <v>108798.39999999999</v>
      </c>
    </row>
    <row r="61" spans="1:11" x14ac:dyDescent="0.3">
      <c r="A61" t="s">
        <v>144</v>
      </c>
      <c r="B61" s="1">
        <v>45743</v>
      </c>
      <c r="C61" t="s">
        <v>12</v>
      </c>
      <c r="D61" t="s">
        <v>13</v>
      </c>
      <c r="E61" t="s">
        <v>50</v>
      </c>
      <c r="F61" t="s">
        <v>85</v>
      </c>
      <c r="G61">
        <v>7</v>
      </c>
      <c r="H61" s="2">
        <v>8348.7099999999991</v>
      </c>
      <c r="I61" s="3">
        <v>0.05</v>
      </c>
      <c r="J61" s="2">
        <v>58440.98</v>
      </c>
      <c r="K61" s="2">
        <v>55518.93</v>
      </c>
    </row>
    <row r="62" spans="1:11" x14ac:dyDescent="0.3">
      <c r="A62" t="s">
        <v>145</v>
      </c>
      <c r="B62" s="1">
        <v>45744</v>
      </c>
      <c r="C62" t="s">
        <v>17</v>
      </c>
      <c r="D62" t="s">
        <v>35</v>
      </c>
      <c r="E62" t="s">
        <v>67</v>
      </c>
      <c r="F62" t="s">
        <v>116</v>
      </c>
      <c r="G62">
        <v>2</v>
      </c>
      <c r="H62" s="2">
        <v>4467.07</v>
      </c>
      <c r="I62" s="3">
        <v>0.05</v>
      </c>
      <c r="J62" s="2">
        <v>8934.15</v>
      </c>
      <c r="K62" s="2">
        <v>8487.44</v>
      </c>
    </row>
    <row r="63" spans="1:11" x14ac:dyDescent="0.3">
      <c r="A63" t="s">
        <v>146</v>
      </c>
      <c r="B63" s="1">
        <v>45744</v>
      </c>
      <c r="C63" t="s">
        <v>12</v>
      </c>
      <c r="D63" t="s">
        <v>13</v>
      </c>
      <c r="E63" t="s">
        <v>14</v>
      </c>
      <c r="F63" t="s">
        <v>139</v>
      </c>
      <c r="G63">
        <v>5</v>
      </c>
      <c r="H63" s="2">
        <v>4609.0200000000004</v>
      </c>
      <c r="I63" s="3">
        <v>0.1</v>
      </c>
      <c r="J63" s="2">
        <v>23045.11</v>
      </c>
      <c r="K63" s="2">
        <v>20740.599999999999</v>
      </c>
    </row>
    <row r="64" spans="1:11" x14ac:dyDescent="0.3">
      <c r="A64" t="s">
        <v>147</v>
      </c>
      <c r="B64" s="1">
        <v>45747</v>
      </c>
      <c r="C64" t="s">
        <v>25</v>
      </c>
      <c r="D64" t="s">
        <v>35</v>
      </c>
      <c r="E64" t="s">
        <v>56</v>
      </c>
      <c r="F64" t="s">
        <v>15</v>
      </c>
      <c r="G64">
        <v>4</v>
      </c>
      <c r="H64" s="2">
        <v>1725.81</v>
      </c>
      <c r="I64" s="3">
        <v>0</v>
      </c>
      <c r="J64" s="2">
        <v>6903.26</v>
      </c>
      <c r="K64" s="2">
        <v>6903.26</v>
      </c>
    </row>
    <row r="65" spans="1:11" x14ac:dyDescent="0.3">
      <c r="A65" t="s">
        <v>148</v>
      </c>
      <c r="B65" s="1">
        <v>45747</v>
      </c>
      <c r="C65" t="s">
        <v>25</v>
      </c>
      <c r="D65" t="s">
        <v>18</v>
      </c>
      <c r="E65" t="s">
        <v>19</v>
      </c>
      <c r="F65" t="s">
        <v>20</v>
      </c>
      <c r="G65">
        <v>2</v>
      </c>
      <c r="H65" s="2">
        <v>11652.43</v>
      </c>
      <c r="I65" s="3">
        <v>0.1</v>
      </c>
      <c r="J65" s="2">
        <v>23304.87</v>
      </c>
      <c r="K65" s="2">
        <v>20974.38</v>
      </c>
    </row>
    <row r="66" spans="1:11" x14ac:dyDescent="0.3">
      <c r="A66" t="s">
        <v>149</v>
      </c>
      <c r="B66" s="1">
        <v>45749</v>
      </c>
      <c r="C66" t="s">
        <v>12</v>
      </c>
      <c r="D66" t="s">
        <v>28</v>
      </c>
      <c r="E66" t="s">
        <v>45</v>
      </c>
      <c r="F66" t="s">
        <v>104</v>
      </c>
      <c r="G66">
        <v>6</v>
      </c>
      <c r="H66" s="2">
        <v>65221.11</v>
      </c>
      <c r="I66" s="3">
        <v>0.1</v>
      </c>
      <c r="J66" s="2">
        <v>391326.64</v>
      </c>
      <c r="K66" s="2">
        <v>352193.98</v>
      </c>
    </row>
    <row r="67" spans="1:11" x14ac:dyDescent="0.3">
      <c r="A67" t="s">
        <v>150</v>
      </c>
      <c r="B67" s="1">
        <v>45750</v>
      </c>
      <c r="C67" t="s">
        <v>25</v>
      </c>
      <c r="D67" t="s">
        <v>18</v>
      </c>
      <c r="E67" t="s">
        <v>32</v>
      </c>
      <c r="F67" t="s">
        <v>94</v>
      </c>
      <c r="G67">
        <v>2</v>
      </c>
      <c r="H67" s="2">
        <v>465.88</v>
      </c>
      <c r="I67" s="3">
        <v>0</v>
      </c>
      <c r="J67" s="2">
        <v>931.76</v>
      </c>
      <c r="K67" s="2">
        <v>931.76</v>
      </c>
    </row>
    <row r="68" spans="1:11" x14ac:dyDescent="0.3">
      <c r="A68" t="s">
        <v>151</v>
      </c>
      <c r="B68" s="1">
        <v>45752</v>
      </c>
      <c r="C68" t="s">
        <v>25</v>
      </c>
      <c r="D68" t="s">
        <v>35</v>
      </c>
      <c r="E68" t="s">
        <v>131</v>
      </c>
      <c r="F68" t="s">
        <v>65</v>
      </c>
      <c r="G68">
        <v>2</v>
      </c>
      <c r="H68" s="2">
        <v>3601.06</v>
      </c>
      <c r="I68" s="3">
        <v>0.05</v>
      </c>
      <c r="J68" s="2">
        <v>7202.11</v>
      </c>
      <c r="K68" s="2">
        <v>6842.01</v>
      </c>
    </row>
    <row r="69" spans="1:11" x14ac:dyDescent="0.3">
      <c r="A69" t="s">
        <v>152</v>
      </c>
      <c r="B69" s="1">
        <v>45753</v>
      </c>
      <c r="C69" t="s">
        <v>41</v>
      </c>
      <c r="D69" t="s">
        <v>18</v>
      </c>
      <c r="E69" t="s">
        <v>19</v>
      </c>
      <c r="F69" t="s">
        <v>102</v>
      </c>
      <c r="G69">
        <v>4</v>
      </c>
      <c r="H69" s="2">
        <v>11497.31</v>
      </c>
      <c r="I69" s="3">
        <v>0</v>
      </c>
      <c r="J69" s="2">
        <v>45989.24</v>
      </c>
      <c r="K69" s="2">
        <v>45989.24</v>
      </c>
    </row>
    <row r="70" spans="1:11" x14ac:dyDescent="0.3">
      <c r="A70" t="s">
        <v>153</v>
      </c>
      <c r="B70" s="1">
        <v>45755</v>
      </c>
      <c r="C70" t="s">
        <v>41</v>
      </c>
      <c r="D70" t="s">
        <v>28</v>
      </c>
      <c r="E70" t="s">
        <v>87</v>
      </c>
      <c r="F70" t="s">
        <v>154</v>
      </c>
      <c r="G70">
        <v>1</v>
      </c>
      <c r="H70" s="2">
        <v>2406.6</v>
      </c>
      <c r="I70" s="3">
        <v>0.1</v>
      </c>
      <c r="J70" s="2">
        <v>2406.6</v>
      </c>
      <c r="K70" s="2">
        <v>2165.94</v>
      </c>
    </row>
    <row r="71" spans="1:11" x14ac:dyDescent="0.3">
      <c r="A71" t="s">
        <v>155</v>
      </c>
      <c r="B71" s="1">
        <v>45756</v>
      </c>
      <c r="C71" t="s">
        <v>12</v>
      </c>
      <c r="D71" t="s">
        <v>35</v>
      </c>
      <c r="E71" t="s">
        <v>36</v>
      </c>
      <c r="F71" t="s">
        <v>156</v>
      </c>
      <c r="G71">
        <v>6</v>
      </c>
      <c r="H71" s="2">
        <v>1658.65</v>
      </c>
      <c r="I71" s="3">
        <v>0</v>
      </c>
      <c r="J71" s="2">
        <v>9951.89</v>
      </c>
      <c r="K71" s="2">
        <v>9951.89</v>
      </c>
    </row>
    <row r="72" spans="1:11" x14ac:dyDescent="0.3">
      <c r="A72" t="s">
        <v>157</v>
      </c>
      <c r="B72" s="1">
        <v>45758</v>
      </c>
      <c r="C72" t="s">
        <v>17</v>
      </c>
      <c r="D72" t="s">
        <v>18</v>
      </c>
      <c r="E72" t="s">
        <v>53</v>
      </c>
      <c r="F72" t="s">
        <v>102</v>
      </c>
      <c r="G72">
        <v>6</v>
      </c>
      <c r="H72" s="2">
        <v>1911.52</v>
      </c>
      <c r="I72" s="3">
        <v>0.05</v>
      </c>
      <c r="J72" s="2">
        <v>11469.1</v>
      </c>
      <c r="K72" s="2">
        <v>10895.65</v>
      </c>
    </row>
    <row r="73" spans="1:11" x14ac:dyDescent="0.3">
      <c r="A73" t="s">
        <v>158</v>
      </c>
      <c r="B73" s="1">
        <v>45758</v>
      </c>
      <c r="C73" t="s">
        <v>12</v>
      </c>
      <c r="D73" t="s">
        <v>35</v>
      </c>
      <c r="E73" t="s">
        <v>56</v>
      </c>
      <c r="F73" t="s">
        <v>159</v>
      </c>
      <c r="G73">
        <v>6</v>
      </c>
      <c r="H73" s="2">
        <v>1918.28</v>
      </c>
      <c r="I73" s="3">
        <v>0</v>
      </c>
      <c r="J73" s="2">
        <v>11509.67</v>
      </c>
      <c r="K73" s="2">
        <v>11509.67</v>
      </c>
    </row>
    <row r="74" spans="1:11" x14ac:dyDescent="0.3">
      <c r="A74" t="s">
        <v>160</v>
      </c>
      <c r="B74" s="1">
        <v>45759</v>
      </c>
      <c r="C74" t="s">
        <v>25</v>
      </c>
      <c r="D74" t="s">
        <v>18</v>
      </c>
      <c r="E74" t="s">
        <v>82</v>
      </c>
      <c r="F74" t="s">
        <v>33</v>
      </c>
      <c r="G74">
        <v>5</v>
      </c>
      <c r="H74" s="2">
        <v>7823.18</v>
      </c>
      <c r="I74" s="3">
        <v>0.15</v>
      </c>
      <c r="J74" s="2">
        <v>39115.910000000003</v>
      </c>
      <c r="K74" s="2">
        <v>33248.519999999997</v>
      </c>
    </row>
    <row r="75" spans="1:11" x14ac:dyDescent="0.3">
      <c r="A75" t="s">
        <v>161</v>
      </c>
      <c r="B75" s="1">
        <v>45760</v>
      </c>
      <c r="C75" t="s">
        <v>25</v>
      </c>
      <c r="D75" t="s">
        <v>18</v>
      </c>
      <c r="E75" t="s">
        <v>22</v>
      </c>
      <c r="F75" t="s">
        <v>15</v>
      </c>
      <c r="G75">
        <v>5</v>
      </c>
      <c r="H75" s="2">
        <v>1840.14</v>
      </c>
      <c r="I75" s="3">
        <v>0.1</v>
      </c>
      <c r="J75" s="2">
        <v>9200.68</v>
      </c>
      <c r="K75" s="2">
        <v>8280.61</v>
      </c>
    </row>
    <row r="76" spans="1:11" x14ac:dyDescent="0.3">
      <c r="A76" t="s">
        <v>162</v>
      </c>
      <c r="B76" s="1">
        <v>45761</v>
      </c>
      <c r="C76" t="s">
        <v>25</v>
      </c>
      <c r="D76" t="s">
        <v>18</v>
      </c>
      <c r="E76" t="s">
        <v>82</v>
      </c>
      <c r="F76" t="s">
        <v>83</v>
      </c>
      <c r="G76">
        <v>6</v>
      </c>
      <c r="H76" s="2">
        <v>8656.33</v>
      </c>
      <c r="I76" s="3">
        <v>0.15</v>
      </c>
      <c r="J76" s="2">
        <v>51937.99</v>
      </c>
      <c r="K76" s="2">
        <v>44147.3</v>
      </c>
    </row>
    <row r="77" spans="1:11" x14ac:dyDescent="0.3">
      <c r="A77" t="s">
        <v>163</v>
      </c>
      <c r="B77" s="1">
        <v>45762</v>
      </c>
      <c r="C77" t="s">
        <v>17</v>
      </c>
      <c r="D77" t="s">
        <v>28</v>
      </c>
      <c r="E77" t="s">
        <v>87</v>
      </c>
      <c r="F77" t="s">
        <v>51</v>
      </c>
      <c r="G77">
        <v>3</v>
      </c>
      <c r="H77" s="2">
        <v>2527.63</v>
      </c>
      <c r="I77" s="3">
        <v>0</v>
      </c>
      <c r="J77" s="2">
        <v>7582.9</v>
      </c>
      <c r="K77" s="2">
        <v>7582.9</v>
      </c>
    </row>
    <row r="78" spans="1:11" x14ac:dyDescent="0.3">
      <c r="A78" t="s">
        <v>164</v>
      </c>
      <c r="B78" s="1">
        <v>45763</v>
      </c>
      <c r="C78" t="s">
        <v>17</v>
      </c>
      <c r="D78" t="s">
        <v>13</v>
      </c>
      <c r="E78" t="s">
        <v>42</v>
      </c>
      <c r="F78" t="s">
        <v>165</v>
      </c>
      <c r="G78">
        <v>6</v>
      </c>
      <c r="H78" s="2">
        <v>7216.38</v>
      </c>
      <c r="I78" s="3">
        <v>0.1</v>
      </c>
      <c r="J78" s="2">
        <v>43298.26</v>
      </c>
      <c r="K78" s="2">
        <v>38968.44</v>
      </c>
    </row>
    <row r="79" spans="1:11" x14ac:dyDescent="0.3">
      <c r="A79" t="s">
        <v>166</v>
      </c>
      <c r="B79" s="1">
        <v>45766</v>
      </c>
      <c r="C79" t="s">
        <v>25</v>
      </c>
      <c r="D79" t="s">
        <v>13</v>
      </c>
      <c r="E79" t="s">
        <v>70</v>
      </c>
      <c r="F79" t="s">
        <v>167</v>
      </c>
      <c r="G79">
        <v>6</v>
      </c>
      <c r="H79" s="2">
        <v>5926.27</v>
      </c>
      <c r="I79" s="3">
        <v>0.05</v>
      </c>
      <c r="J79" s="2">
        <v>35557.64</v>
      </c>
      <c r="K79" s="2">
        <v>33779.760000000002</v>
      </c>
    </row>
    <row r="80" spans="1:11" x14ac:dyDescent="0.3">
      <c r="A80" t="s">
        <v>168</v>
      </c>
      <c r="B80" s="1">
        <v>45769</v>
      </c>
      <c r="C80" t="s">
        <v>17</v>
      </c>
      <c r="D80" t="s">
        <v>13</v>
      </c>
      <c r="E80" t="s">
        <v>110</v>
      </c>
      <c r="F80" t="s">
        <v>169</v>
      </c>
      <c r="G80">
        <v>5</v>
      </c>
      <c r="H80" s="2">
        <v>2055.12</v>
      </c>
      <c r="I80" s="3">
        <v>0.1</v>
      </c>
      <c r="J80" s="2">
        <v>10275.6</v>
      </c>
      <c r="K80" s="2">
        <v>9248.0400000000009</v>
      </c>
    </row>
    <row r="81" spans="1:11" x14ac:dyDescent="0.3">
      <c r="A81" t="s">
        <v>170</v>
      </c>
      <c r="B81" s="1">
        <v>45769</v>
      </c>
      <c r="C81" t="s">
        <v>12</v>
      </c>
      <c r="D81" t="s">
        <v>13</v>
      </c>
      <c r="E81" t="s">
        <v>42</v>
      </c>
      <c r="F81" t="s">
        <v>171</v>
      </c>
      <c r="G81">
        <v>7</v>
      </c>
      <c r="H81" s="2">
        <v>7264.21</v>
      </c>
      <c r="I81" s="3">
        <v>0.1</v>
      </c>
      <c r="J81" s="2">
        <v>50849.49</v>
      </c>
      <c r="K81" s="2">
        <v>45764.54</v>
      </c>
    </row>
    <row r="82" spans="1:11" x14ac:dyDescent="0.3">
      <c r="A82" t="s">
        <v>172</v>
      </c>
      <c r="B82" s="1">
        <v>45770</v>
      </c>
      <c r="C82" t="s">
        <v>17</v>
      </c>
      <c r="D82" t="s">
        <v>35</v>
      </c>
      <c r="E82" t="s">
        <v>131</v>
      </c>
      <c r="F82" t="s">
        <v>173</v>
      </c>
      <c r="G82">
        <v>1</v>
      </c>
      <c r="H82" s="2">
        <v>3375.05</v>
      </c>
      <c r="I82" s="3">
        <v>0.1</v>
      </c>
      <c r="J82" s="2">
        <v>3375.05</v>
      </c>
      <c r="K82" s="2">
        <v>3037.55</v>
      </c>
    </row>
    <row r="83" spans="1:11" x14ac:dyDescent="0.3">
      <c r="A83" t="s">
        <v>174</v>
      </c>
      <c r="B83" s="1">
        <v>45770</v>
      </c>
      <c r="C83" t="s">
        <v>17</v>
      </c>
      <c r="D83" t="s">
        <v>28</v>
      </c>
      <c r="E83" t="s">
        <v>101</v>
      </c>
      <c r="F83" t="s">
        <v>71</v>
      </c>
      <c r="G83">
        <v>3</v>
      </c>
      <c r="H83" s="2">
        <v>21256.2</v>
      </c>
      <c r="I83" s="3">
        <v>0.05</v>
      </c>
      <c r="J83" s="2">
        <v>63768.61</v>
      </c>
      <c r="K83" s="2">
        <v>60580.18</v>
      </c>
    </row>
    <row r="84" spans="1:11" x14ac:dyDescent="0.3">
      <c r="A84" t="s">
        <v>175</v>
      </c>
      <c r="B84" s="1">
        <v>45770</v>
      </c>
      <c r="C84" t="s">
        <v>12</v>
      </c>
      <c r="D84" t="s">
        <v>28</v>
      </c>
      <c r="E84" t="s">
        <v>113</v>
      </c>
      <c r="F84" t="s">
        <v>176</v>
      </c>
      <c r="G84">
        <v>4</v>
      </c>
      <c r="H84" s="2">
        <v>26866</v>
      </c>
      <c r="I84" s="3">
        <v>0.1</v>
      </c>
      <c r="J84" s="2">
        <v>107464.02</v>
      </c>
      <c r="K84" s="2">
        <v>96717.62</v>
      </c>
    </row>
    <row r="85" spans="1:11" x14ac:dyDescent="0.3">
      <c r="A85" t="s">
        <v>177</v>
      </c>
      <c r="B85" s="1">
        <v>45770</v>
      </c>
      <c r="C85" t="s">
        <v>25</v>
      </c>
      <c r="D85" t="s">
        <v>13</v>
      </c>
      <c r="E85" t="s">
        <v>70</v>
      </c>
      <c r="F85" t="s">
        <v>178</v>
      </c>
      <c r="G85">
        <v>7</v>
      </c>
      <c r="H85" s="2">
        <v>5524.33</v>
      </c>
      <c r="I85" s="3">
        <v>0.05</v>
      </c>
      <c r="J85" s="2">
        <v>38670.31</v>
      </c>
      <c r="K85" s="2">
        <v>36736.79</v>
      </c>
    </row>
    <row r="86" spans="1:11" x14ac:dyDescent="0.3">
      <c r="A86" t="s">
        <v>179</v>
      </c>
      <c r="B86" s="1">
        <v>45773</v>
      </c>
      <c r="C86" t="s">
        <v>17</v>
      </c>
      <c r="D86" t="s">
        <v>18</v>
      </c>
      <c r="E86" t="s">
        <v>32</v>
      </c>
      <c r="F86" t="s">
        <v>77</v>
      </c>
      <c r="G86">
        <v>4</v>
      </c>
      <c r="H86" s="2">
        <v>530.97</v>
      </c>
      <c r="I86" s="3">
        <v>0.1</v>
      </c>
      <c r="J86" s="2">
        <v>2123.87</v>
      </c>
      <c r="K86" s="2">
        <v>1911.48</v>
      </c>
    </row>
    <row r="87" spans="1:11" x14ac:dyDescent="0.3">
      <c r="A87" t="s">
        <v>180</v>
      </c>
      <c r="B87" s="1">
        <v>45774</v>
      </c>
      <c r="C87" t="s">
        <v>25</v>
      </c>
      <c r="D87" t="s">
        <v>18</v>
      </c>
      <c r="E87" t="s">
        <v>53</v>
      </c>
      <c r="F87" t="s">
        <v>181</v>
      </c>
      <c r="G87">
        <v>2</v>
      </c>
      <c r="H87" s="2">
        <v>1678.6</v>
      </c>
      <c r="I87" s="3">
        <v>0</v>
      </c>
      <c r="J87" s="2">
        <v>3357.19</v>
      </c>
      <c r="K87" s="2">
        <v>3357.19</v>
      </c>
    </row>
    <row r="88" spans="1:11" x14ac:dyDescent="0.3">
      <c r="A88" t="s">
        <v>182</v>
      </c>
      <c r="B88" s="1">
        <v>45775</v>
      </c>
      <c r="C88" t="s">
        <v>41</v>
      </c>
      <c r="D88" t="s">
        <v>35</v>
      </c>
      <c r="E88" t="s">
        <v>67</v>
      </c>
      <c r="F88" t="s">
        <v>171</v>
      </c>
      <c r="G88">
        <v>3</v>
      </c>
      <c r="H88" s="2">
        <v>4427.53</v>
      </c>
      <c r="I88" s="3">
        <v>0</v>
      </c>
      <c r="J88" s="2">
        <v>13282.58</v>
      </c>
      <c r="K88" s="2">
        <v>13282.58</v>
      </c>
    </row>
    <row r="89" spans="1:11" x14ac:dyDescent="0.3">
      <c r="A89" t="s">
        <v>183</v>
      </c>
      <c r="B89" s="1">
        <v>45776</v>
      </c>
      <c r="C89" t="s">
        <v>41</v>
      </c>
      <c r="D89" t="s">
        <v>13</v>
      </c>
      <c r="E89" t="s">
        <v>42</v>
      </c>
      <c r="F89" t="s">
        <v>184</v>
      </c>
      <c r="G89">
        <v>6</v>
      </c>
      <c r="H89" s="2">
        <v>7409.99</v>
      </c>
      <c r="I89" s="3">
        <v>0</v>
      </c>
      <c r="J89" s="2">
        <v>44459.95</v>
      </c>
      <c r="K89" s="2">
        <v>44459.95</v>
      </c>
    </row>
    <row r="90" spans="1:11" x14ac:dyDescent="0.3">
      <c r="A90" t="s">
        <v>185</v>
      </c>
      <c r="B90" s="1">
        <v>45779</v>
      </c>
      <c r="C90" t="s">
        <v>12</v>
      </c>
      <c r="D90" t="s">
        <v>28</v>
      </c>
      <c r="E90" t="s">
        <v>101</v>
      </c>
      <c r="F90" t="s">
        <v>63</v>
      </c>
      <c r="G90">
        <v>2</v>
      </c>
      <c r="H90" s="2">
        <v>23669.35</v>
      </c>
      <c r="I90" s="3">
        <v>0.15</v>
      </c>
      <c r="J90" s="2">
        <v>47338.71</v>
      </c>
      <c r="K90" s="2">
        <v>40237.9</v>
      </c>
    </row>
    <row r="91" spans="1:11" x14ac:dyDescent="0.3">
      <c r="A91" t="s">
        <v>186</v>
      </c>
      <c r="B91" s="1">
        <v>45779</v>
      </c>
      <c r="C91" t="s">
        <v>17</v>
      </c>
      <c r="D91" t="s">
        <v>35</v>
      </c>
      <c r="E91" t="s">
        <v>74</v>
      </c>
      <c r="F91" t="s">
        <v>171</v>
      </c>
      <c r="G91">
        <v>3</v>
      </c>
      <c r="H91" s="2">
        <v>924.13</v>
      </c>
      <c r="I91" s="3">
        <v>0</v>
      </c>
      <c r="J91" s="2">
        <v>2772.38</v>
      </c>
      <c r="K91" s="2">
        <v>2772.38</v>
      </c>
    </row>
    <row r="92" spans="1:11" x14ac:dyDescent="0.3">
      <c r="A92" t="s">
        <v>187</v>
      </c>
      <c r="B92" s="1">
        <v>45781</v>
      </c>
      <c r="C92" t="s">
        <v>17</v>
      </c>
      <c r="D92" t="s">
        <v>28</v>
      </c>
      <c r="E92" t="s">
        <v>45</v>
      </c>
      <c r="F92" t="s">
        <v>118</v>
      </c>
      <c r="G92">
        <v>5</v>
      </c>
      <c r="H92" s="2">
        <v>67446.210000000006</v>
      </c>
      <c r="I92" s="3">
        <v>0</v>
      </c>
      <c r="J92" s="2">
        <v>337231.06</v>
      </c>
      <c r="K92" s="2">
        <v>337231.06</v>
      </c>
    </row>
    <row r="93" spans="1:11" x14ac:dyDescent="0.3">
      <c r="A93" t="s">
        <v>188</v>
      </c>
      <c r="B93" s="1">
        <v>45782</v>
      </c>
      <c r="C93" t="s">
        <v>25</v>
      </c>
      <c r="D93" t="s">
        <v>28</v>
      </c>
      <c r="E93" t="s">
        <v>113</v>
      </c>
      <c r="F93" t="s">
        <v>189</v>
      </c>
      <c r="G93">
        <v>7</v>
      </c>
      <c r="H93" s="2">
        <v>28957.75</v>
      </c>
      <c r="I93" s="3">
        <v>0.1</v>
      </c>
      <c r="J93" s="2">
        <v>202704.22</v>
      </c>
      <c r="K93" s="2">
        <v>182433.8</v>
      </c>
    </row>
    <row r="94" spans="1:11" x14ac:dyDescent="0.3">
      <c r="A94" t="s">
        <v>190</v>
      </c>
      <c r="B94" s="1">
        <v>45785</v>
      </c>
      <c r="C94" t="s">
        <v>41</v>
      </c>
      <c r="D94" t="s">
        <v>28</v>
      </c>
      <c r="E94" t="s">
        <v>113</v>
      </c>
      <c r="F94" t="s">
        <v>68</v>
      </c>
      <c r="G94">
        <v>6</v>
      </c>
      <c r="H94" s="2">
        <v>27943.69</v>
      </c>
      <c r="I94" s="3">
        <v>0.1</v>
      </c>
      <c r="J94" s="2">
        <v>167662.15</v>
      </c>
      <c r="K94" s="2">
        <v>150895.94</v>
      </c>
    </row>
    <row r="95" spans="1:11" x14ac:dyDescent="0.3">
      <c r="A95" t="s">
        <v>191</v>
      </c>
      <c r="B95" s="1">
        <v>45788</v>
      </c>
      <c r="C95" t="s">
        <v>12</v>
      </c>
      <c r="D95" t="s">
        <v>35</v>
      </c>
      <c r="E95" t="s">
        <v>74</v>
      </c>
      <c r="F95" t="s">
        <v>99</v>
      </c>
      <c r="G95">
        <v>4</v>
      </c>
      <c r="H95" s="2">
        <v>902.05</v>
      </c>
      <c r="I95" s="3">
        <v>0.05</v>
      </c>
      <c r="J95" s="2">
        <v>3608.2</v>
      </c>
      <c r="K95" s="2">
        <v>3427.79</v>
      </c>
    </row>
    <row r="96" spans="1:11" x14ac:dyDescent="0.3">
      <c r="A96" t="s">
        <v>192</v>
      </c>
      <c r="B96" s="1">
        <v>45789</v>
      </c>
      <c r="C96" t="s">
        <v>12</v>
      </c>
      <c r="D96" t="s">
        <v>28</v>
      </c>
      <c r="E96" t="s">
        <v>101</v>
      </c>
      <c r="F96" t="s">
        <v>80</v>
      </c>
      <c r="G96">
        <v>3</v>
      </c>
      <c r="H96" s="2">
        <v>22581.49</v>
      </c>
      <c r="I96" s="3">
        <v>0.05</v>
      </c>
      <c r="J96" s="2">
        <v>67744.479999999996</v>
      </c>
      <c r="K96" s="2">
        <v>64357.26</v>
      </c>
    </row>
    <row r="97" spans="1:11" x14ac:dyDescent="0.3">
      <c r="A97" t="s">
        <v>193</v>
      </c>
      <c r="B97" s="1">
        <v>45789</v>
      </c>
      <c r="C97" t="s">
        <v>41</v>
      </c>
      <c r="D97" t="s">
        <v>13</v>
      </c>
      <c r="E97" t="s">
        <v>110</v>
      </c>
      <c r="F97" t="s">
        <v>194</v>
      </c>
      <c r="G97">
        <v>1</v>
      </c>
      <c r="H97" s="2">
        <v>2357.4299999999998</v>
      </c>
      <c r="I97" s="3">
        <v>0.15</v>
      </c>
      <c r="J97" s="2">
        <v>2357.4299999999998</v>
      </c>
      <c r="K97" s="2">
        <v>2003.82</v>
      </c>
    </row>
    <row r="98" spans="1:11" x14ac:dyDescent="0.3">
      <c r="A98" t="s">
        <v>195</v>
      </c>
      <c r="B98" s="1">
        <v>45791</v>
      </c>
      <c r="C98" t="s">
        <v>25</v>
      </c>
      <c r="D98" t="s">
        <v>35</v>
      </c>
      <c r="E98" t="s">
        <v>56</v>
      </c>
      <c r="F98" t="s">
        <v>165</v>
      </c>
      <c r="G98">
        <v>1</v>
      </c>
      <c r="H98" s="2">
        <v>1906.16</v>
      </c>
      <c r="I98" s="3">
        <v>0</v>
      </c>
      <c r="J98" s="2">
        <v>1906.16</v>
      </c>
      <c r="K98" s="2">
        <v>1906.16</v>
      </c>
    </row>
    <row r="99" spans="1:11" x14ac:dyDescent="0.3">
      <c r="A99" t="s">
        <v>196</v>
      </c>
      <c r="B99" s="1">
        <v>45792</v>
      </c>
      <c r="C99" t="s">
        <v>17</v>
      </c>
      <c r="D99" t="s">
        <v>35</v>
      </c>
      <c r="E99" t="s">
        <v>56</v>
      </c>
      <c r="F99" t="s">
        <v>37</v>
      </c>
      <c r="G99">
        <v>6</v>
      </c>
      <c r="H99" s="2">
        <v>1749.72</v>
      </c>
      <c r="I99" s="3">
        <v>0.1</v>
      </c>
      <c r="J99" s="2">
        <v>10498.29</v>
      </c>
      <c r="K99" s="2">
        <v>9448.4599999999991</v>
      </c>
    </row>
    <row r="100" spans="1:11" x14ac:dyDescent="0.3">
      <c r="A100" t="s">
        <v>197</v>
      </c>
      <c r="B100" s="1">
        <v>45793</v>
      </c>
      <c r="C100" t="s">
        <v>41</v>
      </c>
      <c r="D100" t="s">
        <v>28</v>
      </c>
      <c r="E100" t="s">
        <v>45</v>
      </c>
      <c r="F100" t="s">
        <v>114</v>
      </c>
      <c r="G100">
        <v>1</v>
      </c>
      <c r="H100" s="2">
        <v>70063.62</v>
      </c>
      <c r="I100" s="3">
        <v>0.1</v>
      </c>
      <c r="J100" s="2">
        <v>70063.62</v>
      </c>
      <c r="K100" s="2">
        <v>63057.26</v>
      </c>
    </row>
    <row r="101" spans="1:11" x14ac:dyDescent="0.3">
      <c r="A101" t="s">
        <v>198</v>
      </c>
      <c r="B101" s="1">
        <v>45795</v>
      </c>
      <c r="C101" t="s">
        <v>41</v>
      </c>
      <c r="D101" t="s">
        <v>18</v>
      </c>
      <c r="E101" t="s">
        <v>82</v>
      </c>
      <c r="F101" t="s">
        <v>37</v>
      </c>
      <c r="G101">
        <v>3</v>
      </c>
      <c r="H101" s="2">
        <v>8768.7900000000009</v>
      </c>
      <c r="I101" s="3">
        <v>0.1</v>
      </c>
      <c r="J101" s="2">
        <v>26306.38</v>
      </c>
      <c r="K101" s="2">
        <v>23675.74</v>
      </c>
    </row>
    <row r="102" spans="1:11" x14ac:dyDescent="0.3">
      <c r="A102" t="s">
        <v>199</v>
      </c>
      <c r="B102" s="1">
        <v>45799</v>
      </c>
      <c r="C102" t="s">
        <v>41</v>
      </c>
      <c r="D102" t="s">
        <v>28</v>
      </c>
      <c r="E102" t="s">
        <v>29</v>
      </c>
      <c r="F102" t="s">
        <v>167</v>
      </c>
      <c r="G102">
        <v>5</v>
      </c>
      <c r="H102" s="2">
        <v>6182.04</v>
      </c>
      <c r="I102" s="3">
        <v>0</v>
      </c>
      <c r="J102" s="2">
        <v>30910.22</v>
      </c>
      <c r="K102" s="2">
        <v>30910.22</v>
      </c>
    </row>
    <row r="103" spans="1:11" x14ac:dyDescent="0.3">
      <c r="A103" t="s">
        <v>200</v>
      </c>
      <c r="B103" s="1">
        <v>45800</v>
      </c>
      <c r="C103" t="s">
        <v>17</v>
      </c>
      <c r="D103" t="s">
        <v>28</v>
      </c>
      <c r="E103" t="s">
        <v>29</v>
      </c>
      <c r="F103" t="s">
        <v>85</v>
      </c>
      <c r="G103">
        <v>6</v>
      </c>
      <c r="H103" s="2">
        <v>6124.9</v>
      </c>
      <c r="I103" s="3">
        <v>0.05</v>
      </c>
      <c r="J103" s="2">
        <v>36749.43</v>
      </c>
      <c r="K103" s="2">
        <v>34911.96</v>
      </c>
    </row>
    <row r="104" spans="1:11" x14ac:dyDescent="0.3">
      <c r="A104" t="s">
        <v>201</v>
      </c>
      <c r="B104" s="1">
        <v>45801</v>
      </c>
      <c r="C104" t="s">
        <v>12</v>
      </c>
      <c r="D104" t="s">
        <v>28</v>
      </c>
      <c r="E104" t="s">
        <v>29</v>
      </c>
      <c r="F104" t="s">
        <v>71</v>
      </c>
      <c r="G104">
        <v>3</v>
      </c>
      <c r="H104" s="2">
        <v>6201.24</v>
      </c>
      <c r="I104" s="3">
        <v>0.15</v>
      </c>
      <c r="J104" s="2">
        <v>18603.71</v>
      </c>
      <c r="K104" s="2">
        <v>15813.15</v>
      </c>
    </row>
    <row r="105" spans="1:11" x14ac:dyDescent="0.3">
      <c r="A105" t="s">
        <v>202</v>
      </c>
      <c r="B105" s="1">
        <v>45802</v>
      </c>
      <c r="C105" t="s">
        <v>12</v>
      </c>
      <c r="D105" t="s">
        <v>18</v>
      </c>
      <c r="E105" t="s">
        <v>53</v>
      </c>
      <c r="F105" t="s">
        <v>154</v>
      </c>
      <c r="G105">
        <v>3</v>
      </c>
      <c r="H105" s="2">
        <v>1934.84</v>
      </c>
      <c r="I105" s="3">
        <v>0</v>
      </c>
      <c r="J105" s="2">
        <v>5804.52</v>
      </c>
      <c r="K105" s="2">
        <v>5804.52</v>
      </c>
    </row>
    <row r="106" spans="1:11" x14ac:dyDescent="0.3">
      <c r="A106" t="s">
        <v>203</v>
      </c>
      <c r="B106" s="1">
        <v>45803</v>
      </c>
      <c r="C106" t="s">
        <v>17</v>
      </c>
      <c r="D106" t="s">
        <v>35</v>
      </c>
      <c r="E106" t="s">
        <v>56</v>
      </c>
      <c r="F106" t="s">
        <v>204</v>
      </c>
      <c r="G106">
        <v>4</v>
      </c>
      <c r="H106" s="2">
        <v>1758.27</v>
      </c>
      <c r="I106" s="3">
        <v>0.05</v>
      </c>
      <c r="J106" s="2">
        <v>7033.08</v>
      </c>
      <c r="K106" s="2">
        <v>6681.43</v>
      </c>
    </row>
    <row r="107" spans="1:11" x14ac:dyDescent="0.3">
      <c r="A107" t="s">
        <v>205</v>
      </c>
      <c r="B107" s="1">
        <v>45804</v>
      </c>
      <c r="C107" t="s">
        <v>12</v>
      </c>
      <c r="D107" t="s">
        <v>35</v>
      </c>
      <c r="E107" t="s">
        <v>36</v>
      </c>
      <c r="F107" t="s">
        <v>114</v>
      </c>
      <c r="G107">
        <v>5</v>
      </c>
      <c r="H107" s="2">
        <v>1935.23</v>
      </c>
      <c r="I107" s="3">
        <v>0.1</v>
      </c>
      <c r="J107" s="2">
        <v>9676.1299999999992</v>
      </c>
      <c r="K107" s="2">
        <v>8708.52</v>
      </c>
    </row>
    <row r="108" spans="1:11" x14ac:dyDescent="0.3">
      <c r="A108" t="s">
        <v>206</v>
      </c>
      <c r="B108" s="1">
        <v>45805</v>
      </c>
      <c r="C108" t="s">
        <v>41</v>
      </c>
      <c r="D108" t="s">
        <v>28</v>
      </c>
      <c r="E108" t="s">
        <v>29</v>
      </c>
      <c r="F108" t="s">
        <v>104</v>
      </c>
      <c r="G108">
        <v>3</v>
      </c>
      <c r="H108" s="2">
        <v>6173.98</v>
      </c>
      <c r="I108" s="3">
        <v>0</v>
      </c>
      <c r="J108" s="2">
        <v>18521.939999999999</v>
      </c>
      <c r="K108" s="2">
        <v>18521.939999999999</v>
      </c>
    </row>
    <row r="109" spans="1:11" x14ac:dyDescent="0.3">
      <c r="A109" t="s">
        <v>207</v>
      </c>
      <c r="B109" s="1">
        <v>45808</v>
      </c>
      <c r="C109" t="s">
        <v>17</v>
      </c>
      <c r="D109" t="s">
        <v>28</v>
      </c>
      <c r="E109" t="s">
        <v>45</v>
      </c>
      <c r="F109" t="s">
        <v>178</v>
      </c>
      <c r="G109">
        <v>7</v>
      </c>
      <c r="H109" s="2">
        <v>69541.990000000005</v>
      </c>
      <c r="I109" s="3">
        <v>0</v>
      </c>
      <c r="J109" s="2">
        <v>486793.94</v>
      </c>
      <c r="K109" s="2">
        <v>486793.94</v>
      </c>
    </row>
    <row r="110" spans="1:11" x14ac:dyDescent="0.3">
      <c r="A110" t="s">
        <v>208</v>
      </c>
      <c r="B110" s="1">
        <v>45808</v>
      </c>
      <c r="C110" t="s">
        <v>25</v>
      </c>
      <c r="D110" t="s">
        <v>18</v>
      </c>
      <c r="E110" t="s">
        <v>53</v>
      </c>
      <c r="F110" t="s">
        <v>39</v>
      </c>
      <c r="G110">
        <v>2</v>
      </c>
      <c r="H110" s="2">
        <v>1728</v>
      </c>
      <c r="I110" s="3">
        <v>0.05</v>
      </c>
      <c r="J110" s="2">
        <v>3456.01</v>
      </c>
      <c r="K110" s="2">
        <v>3283.21</v>
      </c>
    </row>
    <row r="111" spans="1:11" x14ac:dyDescent="0.3">
      <c r="A111" t="s">
        <v>209</v>
      </c>
      <c r="B111" s="1">
        <v>45809</v>
      </c>
      <c r="C111" t="s">
        <v>17</v>
      </c>
      <c r="D111" t="s">
        <v>18</v>
      </c>
      <c r="E111" t="s">
        <v>32</v>
      </c>
      <c r="F111" t="s">
        <v>210</v>
      </c>
      <c r="G111">
        <v>3</v>
      </c>
      <c r="H111" s="2">
        <v>529.29</v>
      </c>
      <c r="I111" s="3">
        <v>0.05</v>
      </c>
      <c r="J111" s="2">
        <v>1587.88</v>
      </c>
      <c r="K111" s="2">
        <v>1508.49</v>
      </c>
    </row>
    <row r="112" spans="1:11" x14ac:dyDescent="0.3">
      <c r="A112" t="s">
        <v>211</v>
      </c>
      <c r="B112" s="1">
        <v>45810</v>
      </c>
      <c r="C112" t="s">
        <v>25</v>
      </c>
      <c r="D112" t="s">
        <v>28</v>
      </c>
      <c r="E112" t="s">
        <v>29</v>
      </c>
      <c r="F112" t="s">
        <v>102</v>
      </c>
      <c r="G112">
        <v>2</v>
      </c>
      <c r="H112" s="2">
        <v>6621.32</v>
      </c>
      <c r="I112" s="3">
        <v>0.1</v>
      </c>
      <c r="J112" s="2">
        <v>13242.63</v>
      </c>
      <c r="K112" s="2">
        <v>11918.37</v>
      </c>
    </row>
    <row r="113" spans="1:11" x14ac:dyDescent="0.3">
      <c r="A113" t="s">
        <v>212</v>
      </c>
      <c r="B113" s="1">
        <v>45811</v>
      </c>
      <c r="C113" t="s">
        <v>25</v>
      </c>
      <c r="D113" t="s">
        <v>28</v>
      </c>
      <c r="E113" t="s">
        <v>45</v>
      </c>
      <c r="F113" t="s">
        <v>213</v>
      </c>
      <c r="G113">
        <v>5</v>
      </c>
      <c r="H113" s="2">
        <v>60658.09</v>
      </c>
      <c r="I113" s="3">
        <v>0.1</v>
      </c>
      <c r="J113" s="2">
        <v>303290.44</v>
      </c>
      <c r="K113" s="2">
        <v>272961.40000000002</v>
      </c>
    </row>
    <row r="114" spans="1:11" x14ac:dyDescent="0.3">
      <c r="A114" t="s">
        <v>214</v>
      </c>
      <c r="B114" s="1">
        <v>45812</v>
      </c>
      <c r="C114" t="s">
        <v>25</v>
      </c>
      <c r="D114" t="s">
        <v>35</v>
      </c>
      <c r="E114" t="s">
        <v>67</v>
      </c>
      <c r="F114" t="s">
        <v>43</v>
      </c>
      <c r="G114">
        <v>7</v>
      </c>
      <c r="H114" s="2">
        <v>4529.32</v>
      </c>
      <c r="I114" s="3">
        <v>0</v>
      </c>
      <c r="J114" s="2">
        <v>31705.21</v>
      </c>
      <c r="K114" s="2">
        <v>31705.21</v>
      </c>
    </row>
    <row r="115" spans="1:11" x14ac:dyDescent="0.3">
      <c r="A115" t="s">
        <v>215</v>
      </c>
      <c r="B115" s="1">
        <v>45814</v>
      </c>
      <c r="C115" t="s">
        <v>25</v>
      </c>
      <c r="D115" t="s">
        <v>18</v>
      </c>
      <c r="E115" t="s">
        <v>22</v>
      </c>
      <c r="F115" t="s">
        <v>48</v>
      </c>
      <c r="G115">
        <v>1</v>
      </c>
      <c r="H115" s="2">
        <v>1809.64</v>
      </c>
      <c r="I115" s="3">
        <v>0.1</v>
      </c>
      <c r="J115" s="2">
        <v>1809.64</v>
      </c>
      <c r="K115" s="2">
        <v>1628.67</v>
      </c>
    </row>
    <row r="116" spans="1:11" x14ac:dyDescent="0.3">
      <c r="A116" t="s">
        <v>216</v>
      </c>
      <c r="B116" s="1">
        <v>45815</v>
      </c>
      <c r="C116" t="s">
        <v>12</v>
      </c>
      <c r="D116" t="s">
        <v>35</v>
      </c>
      <c r="E116" t="s">
        <v>74</v>
      </c>
      <c r="F116" t="s">
        <v>217</v>
      </c>
      <c r="G116">
        <v>1</v>
      </c>
      <c r="H116" s="2">
        <v>834.28</v>
      </c>
      <c r="I116" s="3">
        <v>0.15</v>
      </c>
      <c r="J116" s="2">
        <v>834.28</v>
      </c>
      <c r="K116" s="2">
        <v>709.14</v>
      </c>
    </row>
    <row r="117" spans="1:11" x14ac:dyDescent="0.3">
      <c r="A117" t="s">
        <v>218</v>
      </c>
      <c r="B117" s="1">
        <v>45816</v>
      </c>
      <c r="C117" t="s">
        <v>41</v>
      </c>
      <c r="D117" t="s">
        <v>18</v>
      </c>
      <c r="E117" t="s">
        <v>82</v>
      </c>
      <c r="F117" t="s">
        <v>30</v>
      </c>
      <c r="G117">
        <v>3</v>
      </c>
      <c r="H117" s="2">
        <v>8947.33</v>
      </c>
      <c r="I117" s="3">
        <v>0</v>
      </c>
      <c r="J117" s="2">
        <v>26841.98</v>
      </c>
      <c r="K117" s="2">
        <v>26841.98</v>
      </c>
    </row>
    <row r="118" spans="1:11" x14ac:dyDescent="0.3">
      <c r="A118" t="s">
        <v>219</v>
      </c>
      <c r="B118" s="1">
        <v>45816</v>
      </c>
      <c r="C118" t="s">
        <v>17</v>
      </c>
      <c r="D118" t="s">
        <v>13</v>
      </c>
      <c r="E118" t="s">
        <v>50</v>
      </c>
      <c r="F118" t="s">
        <v>204</v>
      </c>
      <c r="G118">
        <v>3</v>
      </c>
      <c r="H118" s="2">
        <v>9366.67</v>
      </c>
      <c r="I118" s="3">
        <v>0</v>
      </c>
      <c r="J118" s="2">
        <v>28100.02</v>
      </c>
      <c r="K118" s="2">
        <v>28100.02</v>
      </c>
    </row>
    <row r="119" spans="1:11" x14ac:dyDescent="0.3">
      <c r="A119" t="s">
        <v>220</v>
      </c>
      <c r="B119" s="1">
        <v>45818</v>
      </c>
      <c r="C119" t="s">
        <v>12</v>
      </c>
      <c r="D119" t="s">
        <v>13</v>
      </c>
      <c r="E119" t="s">
        <v>14</v>
      </c>
      <c r="F119" t="s">
        <v>85</v>
      </c>
      <c r="G119">
        <v>7</v>
      </c>
      <c r="H119" s="2">
        <v>4259.17</v>
      </c>
      <c r="I119" s="3">
        <v>0</v>
      </c>
      <c r="J119" s="2">
        <v>29814.19</v>
      </c>
      <c r="K119" s="2">
        <v>29814.19</v>
      </c>
    </row>
    <row r="120" spans="1:11" x14ac:dyDescent="0.3">
      <c r="A120" t="s">
        <v>221</v>
      </c>
      <c r="B120" s="1">
        <v>45818</v>
      </c>
      <c r="C120" t="s">
        <v>41</v>
      </c>
      <c r="D120" t="s">
        <v>18</v>
      </c>
      <c r="E120" t="s">
        <v>53</v>
      </c>
      <c r="F120" t="s">
        <v>222</v>
      </c>
      <c r="G120">
        <v>1</v>
      </c>
      <c r="H120" s="2">
        <v>1677.7</v>
      </c>
      <c r="I120" s="3">
        <v>0</v>
      </c>
      <c r="J120" s="2">
        <v>1677.7</v>
      </c>
      <c r="K120" s="2">
        <v>1677.7</v>
      </c>
    </row>
    <row r="121" spans="1:11" x14ac:dyDescent="0.3">
      <c r="A121" t="s">
        <v>223</v>
      </c>
      <c r="B121" s="1">
        <v>45820</v>
      </c>
      <c r="C121" t="s">
        <v>41</v>
      </c>
      <c r="D121" t="s">
        <v>28</v>
      </c>
      <c r="E121" t="s">
        <v>29</v>
      </c>
      <c r="F121" t="s">
        <v>184</v>
      </c>
      <c r="G121">
        <v>3</v>
      </c>
      <c r="H121" s="2">
        <v>6812.99</v>
      </c>
      <c r="I121" s="3">
        <v>0.1</v>
      </c>
      <c r="J121" s="2">
        <v>20438.96</v>
      </c>
      <c r="K121" s="2">
        <v>18395.07</v>
      </c>
    </row>
    <row r="122" spans="1:11" x14ac:dyDescent="0.3">
      <c r="A122" t="s">
        <v>224</v>
      </c>
      <c r="B122" s="1">
        <v>45821</v>
      </c>
      <c r="C122" t="s">
        <v>25</v>
      </c>
      <c r="D122" t="s">
        <v>35</v>
      </c>
      <c r="E122" t="s">
        <v>36</v>
      </c>
      <c r="F122" t="s">
        <v>225</v>
      </c>
      <c r="G122">
        <v>4</v>
      </c>
      <c r="H122" s="2">
        <v>1752.67</v>
      </c>
      <c r="I122" s="3">
        <v>0</v>
      </c>
      <c r="J122" s="2">
        <v>7010.68</v>
      </c>
      <c r="K122" s="2">
        <v>7010.68</v>
      </c>
    </row>
    <row r="123" spans="1:11" x14ac:dyDescent="0.3">
      <c r="A123" t="s">
        <v>226</v>
      </c>
      <c r="B123" s="1">
        <v>45821</v>
      </c>
      <c r="C123" t="s">
        <v>12</v>
      </c>
      <c r="D123" t="s">
        <v>28</v>
      </c>
      <c r="E123" t="s">
        <v>101</v>
      </c>
      <c r="F123" t="s">
        <v>181</v>
      </c>
      <c r="G123">
        <v>7</v>
      </c>
      <c r="H123" s="2">
        <v>22311.21</v>
      </c>
      <c r="I123" s="3">
        <v>0.05</v>
      </c>
      <c r="J123" s="2">
        <v>156178.49</v>
      </c>
      <c r="K123" s="2">
        <v>148369.56</v>
      </c>
    </row>
    <row r="124" spans="1:11" x14ac:dyDescent="0.3">
      <c r="A124" t="s">
        <v>227</v>
      </c>
      <c r="B124" s="1">
        <v>45823</v>
      </c>
      <c r="C124" t="s">
        <v>41</v>
      </c>
      <c r="D124" t="s">
        <v>18</v>
      </c>
      <c r="E124" t="s">
        <v>19</v>
      </c>
      <c r="F124" t="s">
        <v>228</v>
      </c>
      <c r="G124">
        <v>6</v>
      </c>
      <c r="H124" s="2">
        <v>12356.29</v>
      </c>
      <c r="I124" s="3">
        <v>0.05</v>
      </c>
      <c r="J124" s="2">
        <v>74137.710000000006</v>
      </c>
      <c r="K124" s="2">
        <v>70430.83</v>
      </c>
    </row>
    <row r="125" spans="1:11" x14ac:dyDescent="0.3">
      <c r="A125" t="s">
        <v>229</v>
      </c>
      <c r="B125" s="1">
        <v>45825</v>
      </c>
      <c r="C125" t="s">
        <v>25</v>
      </c>
      <c r="D125" t="s">
        <v>35</v>
      </c>
      <c r="E125" t="s">
        <v>56</v>
      </c>
      <c r="F125" t="s">
        <v>230</v>
      </c>
      <c r="G125">
        <v>5</v>
      </c>
      <c r="H125" s="2">
        <v>1897.48</v>
      </c>
      <c r="I125" s="3">
        <v>0.05</v>
      </c>
      <c r="J125" s="2">
        <v>9487.41</v>
      </c>
      <c r="K125" s="2">
        <v>9013.0400000000009</v>
      </c>
    </row>
    <row r="126" spans="1:11" x14ac:dyDescent="0.3">
      <c r="A126" t="s">
        <v>231</v>
      </c>
      <c r="B126" s="1">
        <v>45826</v>
      </c>
      <c r="C126" t="s">
        <v>41</v>
      </c>
      <c r="D126" t="s">
        <v>13</v>
      </c>
      <c r="E126" t="s">
        <v>42</v>
      </c>
      <c r="F126" t="s">
        <v>184</v>
      </c>
      <c r="G126">
        <v>2</v>
      </c>
      <c r="H126" s="2">
        <v>7214.92</v>
      </c>
      <c r="I126" s="3">
        <v>0.1</v>
      </c>
      <c r="J126" s="2">
        <v>14429.85</v>
      </c>
      <c r="K126" s="2">
        <v>12986.86</v>
      </c>
    </row>
    <row r="127" spans="1:11" x14ac:dyDescent="0.3">
      <c r="A127" t="s">
        <v>232</v>
      </c>
      <c r="B127" s="1">
        <v>45827</v>
      </c>
      <c r="C127" t="s">
        <v>25</v>
      </c>
      <c r="D127" t="s">
        <v>28</v>
      </c>
      <c r="E127" t="s">
        <v>113</v>
      </c>
      <c r="F127" t="s">
        <v>57</v>
      </c>
      <c r="G127">
        <v>4</v>
      </c>
      <c r="H127" s="2">
        <v>26803.66</v>
      </c>
      <c r="I127" s="3">
        <v>0</v>
      </c>
      <c r="J127" s="2">
        <v>107214.63</v>
      </c>
      <c r="K127" s="2">
        <v>107214.63</v>
      </c>
    </row>
    <row r="128" spans="1:11" x14ac:dyDescent="0.3">
      <c r="A128" t="s">
        <v>233</v>
      </c>
      <c r="B128" s="1">
        <v>45827</v>
      </c>
      <c r="C128" t="s">
        <v>41</v>
      </c>
      <c r="D128" t="s">
        <v>13</v>
      </c>
      <c r="E128" t="s">
        <v>50</v>
      </c>
      <c r="F128" t="s">
        <v>116</v>
      </c>
      <c r="G128">
        <v>4</v>
      </c>
      <c r="H128" s="2">
        <v>8313.2099999999991</v>
      </c>
      <c r="I128" s="3">
        <v>0.05</v>
      </c>
      <c r="J128" s="2">
        <v>33252.839999999997</v>
      </c>
      <c r="K128" s="2">
        <v>31590.2</v>
      </c>
    </row>
    <row r="129" spans="1:11" x14ac:dyDescent="0.3">
      <c r="A129" t="s">
        <v>234</v>
      </c>
      <c r="B129" s="1">
        <v>45827</v>
      </c>
      <c r="C129" t="s">
        <v>41</v>
      </c>
      <c r="D129" t="s">
        <v>18</v>
      </c>
      <c r="E129" t="s">
        <v>19</v>
      </c>
      <c r="F129" t="s">
        <v>114</v>
      </c>
      <c r="G129">
        <v>5</v>
      </c>
      <c r="H129" s="2">
        <v>12647.07</v>
      </c>
      <c r="I129" s="3">
        <v>0.1</v>
      </c>
      <c r="J129" s="2">
        <v>63235.33</v>
      </c>
      <c r="K129" s="2">
        <v>56911.8</v>
      </c>
    </row>
    <row r="130" spans="1:11" x14ac:dyDescent="0.3">
      <c r="A130" t="s">
        <v>235</v>
      </c>
      <c r="B130" s="1">
        <v>45834</v>
      </c>
      <c r="C130" t="s">
        <v>17</v>
      </c>
      <c r="D130" t="s">
        <v>13</v>
      </c>
      <c r="E130" t="s">
        <v>14</v>
      </c>
      <c r="F130" t="s">
        <v>132</v>
      </c>
      <c r="G130">
        <v>7</v>
      </c>
      <c r="H130" s="2">
        <v>4443.38</v>
      </c>
      <c r="I130" s="3">
        <v>0.1</v>
      </c>
      <c r="J130" s="2">
        <v>31103.64</v>
      </c>
      <c r="K130" s="2">
        <v>27993.279999999999</v>
      </c>
    </row>
    <row r="131" spans="1:11" x14ac:dyDescent="0.3">
      <c r="A131" t="s">
        <v>236</v>
      </c>
      <c r="B131" s="1">
        <v>45837</v>
      </c>
      <c r="C131" t="s">
        <v>12</v>
      </c>
      <c r="D131" t="s">
        <v>18</v>
      </c>
      <c r="E131" t="s">
        <v>32</v>
      </c>
      <c r="F131" t="s">
        <v>237</v>
      </c>
      <c r="G131">
        <v>6</v>
      </c>
      <c r="H131" s="2">
        <v>477.5</v>
      </c>
      <c r="I131" s="3">
        <v>0.05</v>
      </c>
      <c r="J131" s="2">
        <v>2865.01</v>
      </c>
      <c r="K131" s="2">
        <v>2721.76</v>
      </c>
    </row>
    <row r="132" spans="1:11" x14ac:dyDescent="0.3">
      <c r="A132" t="s">
        <v>238</v>
      </c>
      <c r="B132" s="1">
        <v>45837</v>
      </c>
      <c r="C132" t="s">
        <v>25</v>
      </c>
      <c r="D132" t="s">
        <v>13</v>
      </c>
      <c r="E132" t="s">
        <v>50</v>
      </c>
      <c r="F132" t="s">
        <v>194</v>
      </c>
      <c r="G132">
        <v>6</v>
      </c>
      <c r="H132" s="2">
        <v>9130.7999999999993</v>
      </c>
      <c r="I132" s="3">
        <v>0</v>
      </c>
      <c r="J132" s="2">
        <v>54784.800000000003</v>
      </c>
      <c r="K132" s="2">
        <v>54784.800000000003</v>
      </c>
    </row>
    <row r="133" spans="1:11" x14ac:dyDescent="0.3">
      <c r="A133" t="s">
        <v>239</v>
      </c>
      <c r="B133" s="1">
        <v>45838</v>
      </c>
      <c r="C133" t="s">
        <v>41</v>
      </c>
      <c r="D133" t="s">
        <v>35</v>
      </c>
      <c r="E133" t="s">
        <v>67</v>
      </c>
      <c r="F133" t="s">
        <v>240</v>
      </c>
      <c r="G133">
        <v>4</v>
      </c>
      <c r="H133" s="2">
        <v>4508.2</v>
      </c>
      <c r="I133" s="3">
        <v>0</v>
      </c>
      <c r="J133" s="2">
        <v>18032.79</v>
      </c>
      <c r="K133" s="2">
        <v>18032.79</v>
      </c>
    </row>
    <row r="134" spans="1:11" x14ac:dyDescent="0.3">
      <c r="A134" t="s">
        <v>241</v>
      </c>
      <c r="B134" s="1">
        <v>45840</v>
      </c>
      <c r="C134" t="s">
        <v>17</v>
      </c>
      <c r="D134" t="s">
        <v>35</v>
      </c>
      <c r="E134" t="s">
        <v>36</v>
      </c>
      <c r="F134" t="s">
        <v>71</v>
      </c>
      <c r="G134">
        <v>5</v>
      </c>
      <c r="H134" s="2">
        <v>1678.16</v>
      </c>
      <c r="I134" s="3">
        <v>0.1</v>
      </c>
      <c r="J134" s="2">
        <v>8390.81</v>
      </c>
      <c r="K134" s="2">
        <v>7551.73</v>
      </c>
    </row>
    <row r="135" spans="1:11" x14ac:dyDescent="0.3">
      <c r="A135" t="s">
        <v>242</v>
      </c>
      <c r="B135" s="1">
        <v>45841</v>
      </c>
      <c r="C135" t="s">
        <v>12</v>
      </c>
      <c r="D135" t="s">
        <v>35</v>
      </c>
      <c r="E135" t="s">
        <v>74</v>
      </c>
      <c r="F135" t="s">
        <v>222</v>
      </c>
      <c r="G135">
        <v>6</v>
      </c>
      <c r="H135" s="2">
        <v>928.46</v>
      </c>
      <c r="I135" s="3">
        <v>0</v>
      </c>
      <c r="J135" s="2">
        <v>5570.78</v>
      </c>
      <c r="K135" s="2">
        <v>5570.78</v>
      </c>
    </row>
    <row r="136" spans="1:11" x14ac:dyDescent="0.3">
      <c r="A136" t="s">
        <v>243</v>
      </c>
      <c r="B136" s="1">
        <v>45843</v>
      </c>
      <c r="C136" t="s">
        <v>25</v>
      </c>
      <c r="D136" t="s">
        <v>13</v>
      </c>
      <c r="E136" t="s">
        <v>110</v>
      </c>
      <c r="F136" t="s">
        <v>33</v>
      </c>
      <c r="G136">
        <v>6</v>
      </c>
      <c r="H136" s="2">
        <v>2254.56</v>
      </c>
      <c r="I136" s="3">
        <v>0.15</v>
      </c>
      <c r="J136" s="2">
        <v>13527.38</v>
      </c>
      <c r="K136" s="2">
        <v>11498.27</v>
      </c>
    </row>
    <row r="137" spans="1:11" x14ac:dyDescent="0.3">
      <c r="A137" t="s">
        <v>244</v>
      </c>
      <c r="B137" s="1">
        <v>45844</v>
      </c>
      <c r="C137" t="s">
        <v>17</v>
      </c>
      <c r="D137" t="s">
        <v>28</v>
      </c>
      <c r="E137" t="s">
        <v>45</v>
      </c>
      <c r="F137" t="s">
        <v>127</v>
      </c>
      <c r="G137">
        <v>6</v>
      </c>
      <c r="H137" s="2">
        <v>64964.24</v>
      </c>
      <c r="I137" s="3">
        <v>0.05</v>
      </c>
      <c r="J137" s="2">
        <v>389785.42</v>
      </c>
      <c r="K137" s="2">
        <v>370296.15</v>
      </c>
    </row>
    <row r="138" spans="1:11" x14ac:dyDescent="0.3">
      <c r="A138" t="s">
        <v>245</v>
      </c>
      <c r="B138" s="1">
        <v>45845</v>
      </c>
      <c r="C138" t="s">
        <v>41</v>
      </c>
      <c r="D138" t="s">
        <v>18</v>
      </c>
      <c r="E138" t="s">
        <v>19</v>
      </c>
      <c r="F138" t="s">
        <v>246</v>
      </c>
      <c r="G138">
        <v>1</v>
      </c>
      <c r="H138" s="2">
        <v>12253.08</v>
      </c>
      <c r="I138" s="3">
        <v>0</v>
      </c>
      <c r="J138" s="2">
        <v>12253.08</v>
      </c>
      <c r="K138" s="2">
        <v>12253.08</v>
      </c>
    </row>
    <row r="139" spans="1:11" x14ac:dyDescent="0.3">
      <c r="A139" t="s">
        <v>247</v>
      </c>
      <c r="B139" s="1">
        <v>45847</v>
      </c>
      <c r="C139" t="s">
        <v>12</v>
      </c>
      <c r="D139" t="s">
        <v>13</v>
      </c>
      <c r="E139" t="s">
        <v>70</v>
      </c>
      <c r="F139" t="s">
        <v>51</v>
      </c>
      <c r="G139">
        <v>2</v>
      </c>
      <c r="H139" s="2">
        <v>5167.4399999999996</v>
      </c>
      <c r="I139" s="3">
        <v>0.05</v>
      </c>
      <c r="J139" s="2">
        <v>10334.870000000001</v>
      </c>
      <c r="K139" s="2">
        <v>9818.1299999999992</v>
      </c>
    </row>
    <row r="140" spans="1:11" x14ac:dyDescent="0.3">
      <c r="A140" t="s">
        <v>248</v>
      </c>
      <c r="B140" s="1">
        <v>45847</v>
      </c>
      <c r="C140" t="s">
        <v>25</v>
      </c>
      <c r="D140" t="s">
        <v>18</v>
      </c>
      <c r="E140" t="s">
        <v>82</v>
      </c>
      <c r="F140" t="s">
        <v>217</v>
      </c>
      <c r="G140">
        <v>5</v>
      </c>
      <c r="H140" s="2">
        <v>8959.83</v>
      </c>
      <c r="I140" s="3">
        <v>0.05</v>
      </c>
      <c r="J140" s="2">
        <v>44799.13</v>
      </c>
      <c r="K140" s="2">
        <v>42559.17</v>
      </c>
    </row>
    <row r="141" spans="1:11" x14ac:dyDescent="0.3">
      <c r="A141" t="s">
        <v>249</v>
      </c>
      <c r="B141" s="1">
        <v>45849</v>
      </c>
      <c r="C141" t="s">
        <v>17</v>
      </c>
      <c r="D141" t="s">
        <v>28</v>
      </c>
      <c r="E141" t="s">
        <v>101</v>
      </c>
      <c r="F141" t="s">
        <v>127</v>
      </c>
      <c r="G141">
        <v>5</v>
      </c>
      <c r="H141" s="2">
        <v>21232.76</v>
      </c>
      <c r="I141" s="3">
        <v>0</v>
      </c>
      <c r="J141" s="2">
        <v>106163.81</v>
      </c>
      <c r="K141" s="2">
        <v>106163.81</v>
      </c>
    </row>
    <row r="142" spans="1:11" x14ac:dyDescent="0.3">
      <c r="A142" t="s">
        <v>250</v>
      </c>
      <c r="B142" s="1">
        <v>45849</v>
      </c>
      <c r="C142" t="s">
        <v>17</v>
      </c>
      <c r="D142" t="s">
        <v>35</v>
      </c>
      <c r="E142" t="s">
        <v>56</v>
      </c>
      <c r="F142" t="s">
        <v>251</v>
      </c>
      <c r="G142">
        <v>5</v>
      </c>
      <c r="H142" s="2">
        <v>1736.62</v>
      </c>
      <c r="I142" s="3">
        <v>0.15</v>
      </c>
      <c r="J142" s="2">
        <v>8683.1</v>
      </c>
      <c r="K142" s="2">
        <v>7380.64</v>
      </c>
    </row>
    <row r="143" spans="1:11" x14ac:dyDescent="0.3">
      <c r="A143" t="s">
        <v>252</v>
      </c>
      <c r="B143" s="1">
        <v>45850</v>
      </c>
      <c r="C143" t="s">
        <v>12</v>
      </c>
      <c r="D143" t="s">
        <v>13</v>
      </c>
      <c r="E143" t="s">
        <v>42</v>
      </c>
      <c r="F143" t="s">
        <v>253</v>
      </c>
      <c r="G143">
        <v>4</v>
      </c>
      <c r="H143" s="2">
        <v>7241.42</v>
      </c>
      <c r="I143" s="3">
        <v>0.05</v>
      </c>
      <c r="J143" s="2">
        <v>28965.68</v>
      </c>
      <c r="K143" s="2">
        <v>27517.39</v>
      </c>
    </row>
    <row r="144" spans="1:11" x14ac:dyDescent="0.3">
      <c r="A144" t="s">
        <v>254</v>
      </c>
      <c r="B144" s="1">
        <v>45851</v>
      </c>
      <c r="C144" t="s">
        <v>17</v>
      </c>
      <c r="D144" t="s">
        <v>18</v>
      </c>
      <c r="E144" t="s">
        <v>19</v>
      </c>
      <c r="F144" t="s">
        <v>255</v>
      </c>
      <c r="G144">
        <v>6</v>
      </c>
      <c r="H144" s="2">
        <v>11368.1</v>
      </c>
      <c r="I144" s="3">
        <v>0.1</v>
      </c>
      <c r="J144" s="2">
        <v>68208.63</v>
      </c>
      <c r="K144" s="2">
        <v>61387.76</v>
      </c>
    </row>
    <row r="145" spans="1:11" x14ac:dyDescent="0.3">
      <c r="A145" t="s">
        <v>256</v>
      </c>
      <c r="B145" s="1">
        <v>45853</v>
      </c>
      <c r="C145" t="s">
        <v>25</v>
      </c>
      <c r="D145" t="s">
        <v>28</v>
      </c>
      <c r="E145" t="s">
        <v>101</v>
      </c>
      <c r="F145" t="s">
        <v>213</v>
      </c>
      <c r="G145">
        <v>5</v>
      </c>
      <c r="H145" s="2">
        <v>22980.57</v>
      </c>
      <c r="I145" s="3">
        <v>0</v>
      </c>
      <c r="J145" s="2">
        <v>114902.87</v>
      </c>
      <c r="K145" s="2">
        <v>114902.87</v>
      </c>
    </row>
    <row r="146" spans="1:11" x14ac:dyDescent="0.3">
      <c r="A146" t="s">
        <v>257</v>
      </c>
      <c r="B146" s="1">
        <v>45854</v>
      </c>
      <c r="C146" t="s">
        <v>17</v>
      </c>
      <c r="D146" t="s">
        <v>28</v>
      </c>
      <c r="E146" t="s">
        <v>87</v>
      </c>
      <c r="F146" t="s">
        <v>258</v>
      </c>
      <c r="G146">
        <v>5</v>
      </c>
      <c r="H146" s="2">
        <v>2676.21</v>
      </c>
      <c r="I146" s="3">
        <v>0.05</v>
      </c>
      <c r="J146" s="2">
        <v>13381.06</v>
      </c>
      <c r="K146" s="2">
        <v>12712.01</v>
      </c>
    </row>
    <row r="147" spans="1:11" x14ac:dyDescent="0.3">
      <c r="A147" t="s">
        <v>259</v>
      </c>
      <c r="B147" s="1">
        <v>45854</v>
      </c>
      <c r="C147" t="s">
        <v>41</v>
      </c>
      <c r="D147" t="s">
        <v>35</v>
      </c>
      <c r="E147" t="s">
        <v>131</v>
      </c>
      <c r="F147" t="s">
        <v>23</v>
      </c>
      <c r="G147">
        <v>4</v>
      </c>
      <c r="H147" s="2">
        <v>3614.21</v>
      </c>
      <c r="I147" s="3">
        <v>0.15</v>
      </c>
      <c r="J147" s="2">
        <v>14456.84</v>
      </c>
      <c r="K147" s="2">
        <v>12288.31</v>
      </c>
    </row>
    <row r="148" spans="1:11" x14ac:dyDescent="0.3">
      <c r="A148" t="s">
        <v>260</v>
      </c>
      <c r="B148" s="1">
        <v>45857</v>
      </c>
      <c r="C148" t="s">
        <v>12</v>
      </c>
      <c r="D148" t="s">
        <v>28</v>
      </c>
      <c r="E148" t="s">
        <v>45</v>
      </c>
      <c r="F148" t="s">
        <v>83</v>
      </c>
      <c r="G148">
        <v>7</v>
      </c>
      <c r="H148" s="2">
        <v>67330.67</v>
      </c>
      <c r="I148" s="3">
        <v>0.05</v>
      </c>
      <c r="J148" s="2">
        <v>471314.72</v>
      </c>
      <c r="K148" s="2">
        <v>447748.99</v>
      </c>
    </row>
    <row r="149" spans="1:11" x14ac:dyDescent="0.3">
      <c r="A149" t="s">
        <v>261</v>
      </c>
      <c r="B149" s="1">
        <v>45859</v>
      </c>
      <c r="C149" t="s">
        <v>25</v>
      </c>
      <c r="D149" t="s">
        <v>13</v>
      </c>
      <c r="E149" t="s">
        <v>50</v>
      </c>
      <c r="F149" t="s">
        <v>204</v>
      </c>
      <c r="G149">
        <v>7</v>
      </c>
      <c r="H149" s="2">
        <v>9492.89</v>
      </c>
      <c r="I149" s="3">
        <v>0.05</v>
      </c>
      <c r="J149" s="2">
        <v>66450.23</v>
      </c>
      <c r="K149" s="2">
        <v>63127.72</v>
      </c>
    </row>
    <row r="150" spans="1:11" x14ac:dyDescent="0.3">
      <c r="A150" t="s">
        <v>262</v>
      </c>
      <c r="B150" s="1">
        <v>45859</v>
      </c>
      <c r="C150" t="s">
        <v>25</v>
      </c>
      <c r="D150" t="s">
        <v>35</v>
      </c>
      <c r="E150" t="s">
        <v>74</v>
      </c>
      <c r="F150" t="s">
        <v>171</v>
      </c>
      <c r="G150">
        <v>5</v>
      </c>
      <c r="H150" s="2">
        <v>882.43</v>
      </c>
      <c r="I150" s="3">
        <v>0.1</v>
      </c>
      <c r="J150" s="2">
        <v>4412.1499999999996</v>
      </c>
      <c r="K150" s="2">
        <v>3970.94</v>
      </c>
    </row>
    <row r="151" spans="1:11" x14ac:dyDescent="0.3">
      <c r="A151" t="s">
        <v>263</v>
      </c>
      <c r="B151" s="1">
        <v>45861</v>
      </c>
      <c r="C151" t="s">
        <v>41</v>
      </c>
      <c r="D151" t="s">
        <v>13</v>
      </c>
      <c r="E151" t="s">
        <v>110</v>
      </c>
      <c r="F151" t="s">
        <v>159</v>
      </c>
      <c r="G151">
        <v>5</v>
      </c>
      <c r="H151" s="2">
        <v>2057.14</v>
      </c>
      <c r="I151" s="3">
        <v>0</v>
      </c>
      <c r="J151" s="2">
        <v>10285.719999999999</v>
      </c>
      <c r="K151" s="2">
        <v>10285.719999999999</v>
      </c>
    </row>
    <row r="152" spans="1:11" x14ac:dyDescent="0.3">
      <c r="A152" t="s">
        <v>264</v>
      </c>
      <c r="B152" s="1">
        <v>45864</v>
      </c>
      <c r="C152" t="s">
        <v>12</v>
      </c>
      <c r="D152" t="s">
        <v>13</v>
      </c>
      <c r="E152" t="s">
        <v>70</v>
      </c>
      <c r="F152" t="s">
        <v>265</v>
      </c>
      <c r="G152">
        <v>3</v>
      </c>
      <c r="H152" s="2">
        <v>5254.09</v>
      </c>
      <c r="I152" s="3">
        <v>0.05</v>
      </c>
      <c r="J152" s="2">
        <v>15762.28</v>
      </c>
      <c r="K152" s="2">
        <v>14974.17</v>
      </c>
    </row>
    <row r="153" spans="1:11" x14ac:dyDescent="0.3">
      <c r="A153" t="s">
        <v>266</v>
      </c>
      <c r="B153" s="1">
        <v>45867</v>
      </c>
      <c r="C153" t="s">
        <v>12</v>
      </c>
      <c r="D153" t="s">
        <v>18</v>
      </c>
      <c r="E153" t="s">
        <v>19</v>
      </c>
      <c r="F153" t="s">
        <v>267</v>
      </c>
      <c r="G153">
        <v>4</v>
      </c>
      <c r="H153" s="2">
        <v>12558.19</v>
      </c>
      <c r="I153" s="3">
        <v>0</v>
      </c>
      <c r="J153" s="2">
        <v>50232.75</v>
      </c>
      <c r="K153" s="2">
        <v>50232.75</v>
      </c>
    </row>
    <row r="154" spans="1:11" x14ac:dyDescent="0.3">
      <c r="A154" t="s">
        <v>268</v>
      </c>
      <c r="B154" s="1">
        <v>45868</v>
      </c>
      <c r="C154" t="s">
        <v>25</v>
      </c>
      <c r="D154" t="s">
        <v>18</v>
      </c>
      <c r="E154" t="s">
        <v>19</v>
      </c>
      <c r="F154" t="s">
        <v>65</v>
      </c>
      <c r="G154">
        <v>5</v>
      </c>
      <c r="H154" s="2">
        <v>11802.85</v>
      </c>
      <c r="I154" s="3">
        <v>0.05</v>
      </c>
      <c r="J154" s="2">
        <v>59014.25</v>
      </c>
      <c r="K154" s="2">
        <v>56063.54</v>
      </c>
    </row>
    <row r="155" spans="1:11" x14ac:dyDescent="0.3">
      <c r="A155" t="s">
        <v>269</v>
      </c>
      <c r="B155" s="1">
        <v>45870</v>
      </c>
      <c r="C155" t="s">
        <v>17</v>
      </c>
      <c r="D155" t="s">
        <v>28</v>
      </c>
      <c r="E155" t="s">
        <v>101</v>
      </c>
      <c r="F155" t="s">
        <v>137</v>
      </c>
      <c r="G155">
        <v>5</v>
      </c>
      <c r="H155" s="2">
        <v>21375.86</v>
      </c>
      <c r="I155" s="3">
        <v>0</v>
      </c>
      <c r="J155" s="2">
        <v>106879.28</v>
      </c>
      <c r="K155" s="2">
        <v>106879.28</v>
      </c>
    </row>
    <row r="156" spans="1:11" x14ac:dyDescent="0.3">
      <c r="A156" t="s">
        <v>270</v>
      </c>
      <c r="B156" s="1">
        <v>45875</v>
      </c>
      <c r="C156" t="s">
        <v>12</v>
      </c>
      <c r="D156" t="s">
        <v>28</v>
      </c>
      <c r="E156" t="s">
        <v>29</v>
      </c>
      <c r="F156" t="s">
        <v>271</v>
      </c>
      <c r="G156">
        <v>2</v>
      </c>
      <c r="H156" s="2">
        <v>6909.99</v>
      </c>
      <c r="I156" s="3">
        <v>0</v>
      </c>
      <c r="J156" s="2">
        <v>13819.97</v>
      </c>
      <c r="K156" s="2">
        <v>13819.97</v>
      </c>
    </row>
    <row r="157" spans="1:11" x14ac:dyDescent="0.3">
      <c r="A157" t="s">
        <v>272</v>
      </c>
      <c r="B157" s="1">
        <v>45875</v>
      </c>
      <c r="C157" t="s">
        <v>41</v>
      </c>
      <c r="D157" t="s">
        <v>28</v>
      </c>
      <c r="E157" t="s">
        <v>45</v>
      </c>
      <c r="F157" t="s">
        <v>194</v>
      </c>
      <c r="G157">
        <v>3</v>
      </c>
      <c r="H157" s="2">
        <v>66879.34</v>
      </c>
      <c r="I157" s="3">
        <v>0.05</v>
      </c>
      <c r="J157" s="2">
        <v>200638.01</v>
      </c>
      <c r="K157" s="2">
        <v>190606.11</v>
      </c>
    </row>
    <row r="158" spans="1:11" x14ac:dyDescent="0.3">
      <c r="A158" t="s">
        <v>273</v>
      </c>
      <c r="B158" s="1">
        <v>45877</v>
      </c>
      <c r="C158" t="s">
        <v>17</v>
      </c>
      <c r="D158" t="s">
        <v>18</v>
      </c>
      <c r="E158" t="s">
        <v>22</v>
      </c>
      <c r="F158" t="s">
        <v>106</v>
      </c>
      <c r="G158">
        <v>4</v>
      </c>
      <c r="H158" s="2">
        <v>1943.21</v>
      </c>
      <c r="I158" s="3">
        <v>0.1</v>
      </c>
      <c r="J158" s="2">
        <v>7772.84</v>
      </c>
      <c r="K158" s="2">
        <v>6995.55</v>
      </c>
    </row>
    <row r="159" spans="1:11" x14ac:dyDescent="0.3">
      <c r="A159" t="s">
        <v>274</v>
      </c>
      <c r="B159" s="1">
        <v>45877</v>
      </c>
      <c r="C159" t="s">
        <v>41</v>
      </c>
      <c r="D159" t="s">
        <v>13</v>
      </c>
      <c r="E159" t="s">
        <v>14</v>
      </c>
      <c r="F159" t="s">
        <v>85</v>
      </c>
      <c r="G159">
        <v>1</v>
      </c>
      <c r="H159" s="2">
        <v>4362.8599999999997</v>
      </c>
      <c r="I159" s="3">
        <v>0.1</v>
      </c>
      <c r="J159" s="2">
        <v>4362.8599999999997</v>
      </c>
      <c r="K159" s="2">
        <v>3926.57</v>
      </c>
    </row>
    <row r="160" spans="1:11" x14ac:dyDescent="0.3">
      <c r="A160" t="s">
        <v>275</v>
      </c>
      <c r="B160" s="1">
        <v>45880</v>
      </c>
      <c r="C160" t="s">
        <v>25</v>
      </c>
      <c r="D160" t="s">
        <v>28</v>
      </c>
      <c r="E160" t="s">
        <v>87</v>
      </c>
      <c r="F160" t="s">
        <v>71</v>
      </c>
      <c r="G160">
        <v>2</v>
      </c>
      <c r="H160" s="2">
        <v>2468.71</v>
      </c>
      <c r="I160" s="3">
        <v>0.1</v>
      </c>
      <c r="J160" s="2">
        <v>4937.41</v>
      </c>
      <c r="K160" s="2">
        <v>4443.67</v>
      </c>
    </row>
    <row r="161" spans="1:11" x14ac:dyDescent="0.3">
      <c r="A161" t="s">
        <v>276</v>
      </c>
      <c r="B161" s="1">
        <v>45880</v>
      </c>
      <c r="C161" t="s">
        <v>17</v>
      </c>
      <c r="D161" t="s">
        <v>35</v>
      </c>
      <c r="E161" t="s">
        <v>74</v>
      </c>
      <c r="F161" t="s">
        <v>75</v>
      </c>
      <c r="G161">
        <v>4</v>
      </c>
      <c r="H161" s="2">
        <v>964</v>
      </c>
      <c r="I161" s="3">
        <v>0</v>
      </c>
      <c r="J161" s="2">
        <v>3855.98</v>
      </c>
      <c r="K161" s="2">
        <v>3855.98</v>
      </c>
    </row>
    <row r="162" spans="1:11" x14ac:dyDescent="0.3">
      <c r="A162" t="s">
        <v>277</v>
      </c>
      <c r="B162" s="1">
        <v>45881</v>
      </c>
      <c r="C162" t="s">
        <v>12</v>
      </c>
      <c r="D162" t="s">
        <v>35</v>
      </c>
      <c r="E162" t="s">
        <v>67</v>
      </c>
      <c r="F162" t="s">
        <v>217</v>
      </c>
      <c r="G162">
        <v>6</v>
      </c>
      <c r="H162" s="2">
        <v>4372.46</v>
      </c>
      <c r="I162" s="3">
        <v>0</v>
      </c>
      <c r="J162" s="2">
        <v>26234.76</v>
      </c>
      <c r="K162" s="2">
        <v>26234.76</v>
      </c>
    </row>
    <row r="163" spans="1:11" x14ac:dyDescent="0.3">
      <c r="A163" t="s">
        <v>278</v>
      </c>
      <c r="B163" s="1">
        <v>45883</v>
      </c>
      <c r="C163" t="s">
        <v>41</v>
      </c>
      <c r="D163" t="s">
        <v>28</v>
      </c>
      <c r="E163" t="s">
        <v>87</v>
      </c>
      <c r="F163" t="s">
        <v>80</v>
      </c>
      <c r="G163">
        <v>3</v>
      </c>
      <c r="H163" s="2">
        <v>2351.81</v>
      </c>
      <c r="I163" s="3">
        <v>0.1</v>
      </c>
      <c r="J163" s="2">
        <v>7055.42</v>
      </c>
      <c r="K163" s="2">
        <v>6349.88</v>
      </c>
    </row>
    <row r="164" spans="1:11" x14ac:dyDescent="0.3">
      <c r="A164" t="s">
        <v>279</v>
      </c>
      <c r="B164" s="1">
        <v>45883</v>
      </c>
      <c r="C164" t="s">
        <v>12</v>
      </c>
      <c r="D164" t="s">
        <v>13</v>
      </c>
      <c r="E164" t="s">
        <v>50</v>
      </c>
      <c r="F164" t="s">
        <v>57</v>
      </c>
      <c r="G164">
        <v>3</v>
      </c>
      <c r="H164" s="2">
        <v>9564.5499999999993</v>
      </c>
      <c r="I164" s="3">
        <v>0.05</v>
      </c>
      <c r="J164" s="2">
        <v>28693.64</v>
      </c>
      <c r="K164" s="2">
        <v>27258.959999999999</v>
      </c>
    </row>
    <row r="165" spans="1:11" x14ac:dyDescent="0.3">
      <c r="A165" t="s">
        <v>280</v>
      </c>
      <c r="B165" s="1">
        <v>45883</v>
      </c>
      <c r="C165" t="s">
        <v>12</v>
      </c>
      <c r="D165" t="s">
        <v>28</v>
      </c>
      <c r="E165" t="s">
        <v>87</v>
      </c>
      <c r="F165" t="s">
        <v>106</v>
      </c>
      <c r="G165">
        <v>3</v>
      </c>
      <c r="H165" s="2">
        <v>2573.3200000000002</v>
      </c>
      <c r="I165" s="3">
        <v>0.05</v>
      </c>
      <c r="J165" s="2">
        <v>7719.95</v>
      </c>
      <c r="K165" s="2">
        <v>7333.96</v>
      </c>
    </row>
    <row r="166" spans="1:11" x14ac:dyDescent="0.3">
      <c r="A166" t="s">
        <v>281</v>
      </c>
      <c r="B166" s="1">
        <v>45884</v>
      </c>
      <c r="C166" t="s">
        <v>25</v>
      </c>
      <c r="D166" t="s">
        <v>13</v>
      </c>
      <c r="E166" t="s">
        <v>42</v>
      </c>
      <c r="F166" t="s">
        <v>61</v>
      </c>
      <c r="G166">
        <v>6</v>
      </c>
      <c r="H166" s="2">
        <v>7555.9</v>
      </c>
      <c r="I166" s="3">
        <v>0.1</v>
      </c>
      <c r="J166" s="2">
        <v>45335.38</v>
      </c>
      <c r="K166" s="2">
        <v>40801.839999999997</v>
      </c>
    </row>
    <row r="167" spans="1:11" x14ac:dyDescent="0.3">
      <c r="A167" t="s">
        <v>282</v>
      </c>
      <c r="B167" s="1">
        <v>45884</v>
      </c>
      <c r="C167" t="s">
        <v>41</v>
      </c>
      <c r="D167" t="s">
        <v>35</v>
      </c>
      <c r="E167" t="s">
        <v>56</v>
      </c>
      <c r="F167" t="s">
        <v>68</v>
      </c>
      <c r="G167">
        <v>2</v>
      </c>
      <c r="H167" s="2">
        <v>1664.98</v>
      </c>
      <c r="I167" s="3">
        <v>0</v>
      </c>
      <c r="J167" s="2">
        <v>3329.96</v>
      </c>
      <c r="K167" s="2">
        <v>3329.96</v>
      </c>
    </row>
    <row r="168" spans="1:11" x14ac:dyDescent="0.3">
      <c r="A168" t="s">
        <v>283</v>
      </c>
      <c r="B168" s="1">
        <v>45885</v>
      </c>
      <c r="C168" t="s">
        <v>25</v>
      </c>
      <c r="D168" t="s">
        <v>35</v>
      </c>
      <c r="E168" t="s">
        <v>56</v>
      </c>
      <c r="F168" t="s">
        <v>253</v>
      </c>
      <c r="G168">
        <v>4</v>
      </c>
      <c r="H168" s="2">
        <v>1664.47</v>
      </c>
      <c r="I168" s="3">
        <v>0.05</v>
      </c>
      <c r="J168" s="2">
        <v>6657.86</v>
      </c>
      <c r="K168" s="2">
        <v>6324.97</v>
      </c>
    </row>
    <row r="169" spans="1:11" x14ac:dyDescent="0.3">
      <c r="A169" t="s">
        <v>284</v>
      </c>
      <c r="B169" s="1">
        <v>45885</v>
      </c>
      <c r="C169" t="s">
        <v>41</v>
      </c>
      <c r="D169" t="s">
        <v>13</v>
      </c>
      <c r="E169" t="s">
        <v>110</v>
      </c>
      <c r="F169" t="s">
        <v>271</v>
      </c>
      <c r="G169">
        <v>2</v>
      </c>
      <c r="H169" s="2">
        <v>2117.61</v>
      </c>
      <c r="I169" s="3">
        <v>0.05</v>
      </c>
      <c r="J169" s="2">
        <v>4235.22</v>
      </c>
      <c r="K169" s="2">
        <v>4023.46</v>
      </c>
    </row>
    <row r="170" spans="1:11" x14ac:dyDescent="0.3">
      <c r="A170" t="s">
        <v>285</v>
      </c>
      <c r="B170" s="1">
        <v>45890</v>
      </c>
      <c r="C170" t="s">
        <v>41</v>
      </c>
      <c r="D170" t="s">
        <v>28</v>
      </c>
      <c r="E170" t="s">
        <v>87</v>
      </c>
      <c r="F170" t="s">
        <v>286</v>
      </c>
      <c r="G170">
        <v>6</v>
      </c>
      <c r="H170" s="2">
        <v>2413.34</v>
      </c>
      <c r="I170" s="3">
        <v>0</v>
      </c>
      <c r="J170" s="2">
        <v>14480.02</v>
      </c>
      <c r="K170" s="2">
        <v>14480.02</v>
      </c>
    </row>
    <row r="171" spans="1:11" x14ac:dyDescent="0.3">
      <c r="A171" t="s">
        <v>287</v>
      </c>
      <c r="B171" s="1">
        <v>45891</v>
      </c>
      <c r="C171" t="s">
        <v>41</v>
      </c>
      <c r="D171" t="s">
        <v>35</v>
      </c>
      <c r="E171" t="s">
        <v>74</v>
      </c>
      <c r="F171" t="s">
        <v>288</v>
      </c>
      <c r="G171">
        <v>1</v>
      </c>
      <c r="H171" s="2">
        <v>897.82</v>
      </c>
      <c r="I171" s="3">
        <v>0.1</v>
      </c>
      <c r="J171" s="2">
        <v>897.82</v>
      </c>
      <c r="K171" s="2">
        <v>808.03</v>
      </c>
    </row>
    <row r="172" spans="1:11" x14ac:dyDescent="0.3">
      <c r="A172" t="s">
        <v>289</v>
      </c>
      <c r="B172" s="1">
        <v>45894</v>
      </c>
      <c r="C172" t="s">
        <v>12</v>
      </c>
      <c r="D172" t="s">
        <v>13</v>
      </c>
      <c r="E172" t="s">
        <v>70</v>
      </c>
      <c r="F172" t="s">
        <v>143</v>
      </c>
      <c r="G172">
        <v>1</v>
      </c>
      <c r="H172" s="2">
        <v>5296.44</v>
      </c>
      <c r="I172" s="3">
        <v>0.05</v>
      </c>
      <c r="J172" s="2">
        <v>5296.44</v>
      </c>
      <c r="K172" s="2">
        <v>5031.6099999999997</v>
      </c>
    </row>
    <row r="173" spans="1:11" x14ac:dyDescent="0.3">
      <c r="A173" t="s">
        <v>290</v>
      </c>
      <c r="B173" s="1">
        <v>45894</v>
      </c>
      <c r="C173" t="s">
        <v>25</v>
      </c>
      <c r="D173" t="s">
        <v>13</v>
      </c>
      <c r="E173" t="s">
        <v>110</v>
      </c>
      <c r="F173" t="s">
        <v>154</v>
      </c>
      <c r="G173">
        <v>1</v>
      </c>
      <c r="H173" s="2">
        <v>2362.33</v>
      </c>
      <c r="I173" s="3">
        <v>0.1</v>
      </c>
      <c r="J173" s="2">
        <v>2362.33</v>
      </c>
      <c r="K173" s="2">
        <v>2126.1</v>
      </c>
    </row>
    <row r="174" spans="1:11" x14ac:dyDescent="0.3">
      <c r="A174" t="s">
        <v>291</v>
      </c>
      <c r="B174" s="1">
        <v>45895</v>
      </c>
      <c r="C174" t="s">
        <v>41</v>
      </c>
      <c r="D174" t="s">
        <v>28</v>
      </c>
      <c r="E174" t="s">
        <v>45</v>
      </c>
      <c r="F174" t="s">
        <v>132</v>
      </c>
      <c r="G174">
        <v>5</v>
      </c>
      <c r="H174" s="2">
        <v>66203.72</v>
      </c>
      <c r="I174" s="3">
        <v>0</v>
      </c>
      <c r="J174" s="2">
        <v>331018.59000000003</v>
      </c>
      <c r="K174" s="2">
        <v>331018.59000000003</v>
      </c>
    </row>
    <row r="175" spans="1:11" x14ac:dyDescent="0.3">
      <c r="A175" t="s">
        <v>292</v>
      </c>
      <c r="B175" s="1">
        <v>45896</v>
      </c>
      <c r="C175" t="s">
        <v>12</v>
      </c>
      <c r="D175" t="s">
        <v>18</v>
      </c>
      <c r="E175" t="s">
        <v>32</v>
      </c>
      <c r="F175" t="s">
        <v>222</v>
      </c>
      <c r="G175">
        <v>7</v>
      </c>
      <c r="H175" s="2">
        <v>461.58</v>
      </c>
      <c r="I175" s="3">
        <v>0</v>
      </c>
      <c r="J175" s="2">
        <v>3231.04</v>
      </c>
      <c r="K175" s="2">
        <v>3231.04</v>
      </c>
    </row>
    <row r="176" spans="1:11" x14ac:dyDescent="0.3">
      <c r="A176" t="s">
        <v>293</v>
      </c>
      <c r="B176" s="1">
        <v>45897</v>
      </c>
      <c r="C176" t="s">
        <v>41</v>
      </c>
      <c r="D176" t="s">
        <v>28</v>
      </c>
      <c r="E176" t="s">
        <v>29</v>
      </c>
      <c r="F176" t="s">
        <v>189</v>
      </c>
      <c r="G176">
        <v>2</v>
      </c>
      <c r="H176" s="2">
        <v>6638.87</v>
      </c>
      <c r="I176" s="3">
        <v>0.05</v>
      </c>
      <c r="J176" s="2">
        <v>13277.74</v>
      </c>
      <c r="K176" s="2">
        <v>12613.85</v>
      </c>
    </row>
    <row r="177" spans="1:11" x14ac:dyDescent="0.3">
      <c r="A177" t="s">
        <v>294</v>
      </c>
      <c r="B177" s="1">
        <v>45903</v>
      </c>
      <c r="C177" t="s">
        <v>25</v>
      </c>
      <c r="D177" t="s">
        <v>35</v>
      </c>
      <c r="E177" t="s">
        <v>74</v>
      </c>
      <c r="F177" t="s">
        <v>251</v>
      </c>
      <c r="G177">
        <v>6</v>
      </c>
      <c r="H177" s="2">
        <v>896.55</v>
      </c>
      <c r="I177" s="3">
        <v>0.1</v>
      </c>
      <c r="J177" s="2">
        <v>5379.31</v>
      </c>
      <c r="K177" s="2">
        <v>4841.38</v>
      </c>
    </row>
    <row r="178" spans="1:11" x14ac:dyDescent="0.3">
      <c r="A178" t="s">
        <v>295</v>
      </c>
      <c r="B178" s="1">
        <v>45904</v>
      </c>
      <c r="C178" t="s">
        <v>17</v>
      </c>
      <c r="D178" t="s">
        <v>35</v>
      </c>
      <c r="E178" t="s">
        <v>67</v>
      </c>
      <c r="F178" t="s">
        <v>246</v>
      </c>
      <c r="G178">
        <v>7</v>
      </c>
      <c r="H178" s="2">
        <v>4306.8</v>
      </c>
      <c r="I178" s="3">
        <v>0</v>
      </c>
      <c r="J178" s="2">
        <v>30147.58</v>
      </c>
      <c r="K178" s="2">
        <v>30147.58</v>
      </c>
    </row>
    <row r="179" spans="1:11" x14ac:dyDescent="0.3">
      <c r="A179" t="s">
        <v>296</v>
      </c>
      <c r="B179" s="1">
        <v>45906</v>
      </c>
      <c r="C179" t="s">
        <v>17</v>
      </c>
      <c r="D179" t="s">
        <v>18</v>
      </c>
      <c r="E179" t="s">
        <v>53</v>
      </c>
      <c r="F179" t="s">
        <v>297</v>
      </c>
      <c r="G179">
        <v>7</v>
      </c>
      <c r="H179" s="2">
        <v>1909.91</v>
      </c>
      <c r="I179" s="3">
        <v>0.15</v>
      </c>
      <c r="J179" s="2">
        <v>13369.38</v>
      </c>
      <c r="K179" s="2">
        <v>11363.97</v>
      </c>
    </row>
    <row r="180" spans="1:11" x14ac:dyDescent="0.3">
      <c r="A180" t="s">
        <v>298</v>
      </c>
      <c r="B180" s="1">
        <v>45906</v>
      </c>
      <c r="C180" t="s">
        <v>17</v>
      </c>
      <c r="D180" t="s">
        <v>28</v>
      </c>
      <c r="E180" t="s">
        <v>87</v>
      </c>
      <c r="F180" t="s">
        <v>96</v>
      </c>
      <c r="G180">
        <v>3</v>
      </c>
      <c r="H180" s="2">
        <v>2396.06</v>
      </c>
      <c r="I180" s="3">
        <v>0</v>
      </c>
      <c r="J180" s="2">
        <v>7188.17</v>
      </c>
      <c r="K180" s="2">
        <v>7188.17</v>
      </c>
    </row>
    <row r="181" spans="1:11" x14ac:dyDescent="0.3">
      <c r="A181" t="s">
        <v>299</v>
      </c>
      <c r="B181" s="1">
        <v>45907</v>
      </c>
      <c r="C181" t="s">
        <v>17</v>
      </c>
      <c r="D181" t="s">
        <v>13</v>
      </c>
      <c r="E181" t="s">
        <v>50</v>
      </c>
      <c r="F181" t="s">
        <v>26</v>
      </c>
      <c r="G181">
        <v>4</v>
      </c>
      <c r="H181" s="2">
        <v>8345.24</v>
      </c>
      <c r="I181" s="3">
        <v>0.05</v>
      </c>
      <c r="J181" s="2">
        <v>33380.949999999997</v>
      </c>
      <c r="K181" s="2">
        <v>31711.9</v>
      </c>
    </row>
    <row r="182" spans="1:11" x14ac:dyDescent="0.3">
      <c r="A182" t="s">
        <v>300</v>
      </c>
      <c r="B182" s="1">
        <v>45912</v>
      </c>
      <c r="C182" t="s">
        <v>25</v>
      </c>
      <c r="D182" t="s">
        <v>35</v>
      </c>
      <c r="E182" t="s">
        <v>36</v>
      </c>
      <c r="F182" t="s">
        <v>288</v>
      </c>
      <c r="G182">
        <v>7</v>
      </c>
      <c r="H182" s="2">
        <v>1875.35</v>
      </c>
      <c r="I182" s="3">
        <v>0</v>
      </c>
      <c r="J182" s="2">
        <v>13127.43</v>
      </c>
      <c r="K182" s="2">
        <v>13127.43</v>
      </c>
    </row>
    <row r="183" spans="1:11" x14ac:dyDescent="0.3">
      <c r="A183" t="s">
        <v>301</v>
      </c>
      <c r="B183" s="1">
        <v>45916</v>
      </c>
      <c r="C183" t="s">
        <v>12</v>
      </c>
      <c r="D183" t="s">
        <v>28</v>
      </c>
      <c r="E183" t="s">
        <v>29</v>
      </c>
      <c r="F183" t="s">
        <v>181</v>
      </c>
      <c r="G183">
        <v>1</v>
      </c>
      <c r="H183" s="2">
        <v>6535.72</v>
      </c>
      <c r="I183" s="3">
        <v>0.1</v>
      </c>
      <c r="J183" s="2">
        <v>6535.72</v>
      </c>
      <c r="K183" s="2">
        <v>5882.15</v>
      </c>
    </row>
    <row r="184" spans="1:11" x14ac:dyDescent="0.3">
      <c r="A184" t="s">
        <v>302</v>
      </c>
      <c r="B184" s="1">
        <v>45916</v>
      </c>
      <c r="C184" t="s">
        <v>12</v>
      </c>
      <c r="D184" t="s">
        <v>13</v>
      </c>
      <c r="E184" t="s">
        <v>50</v>
      </c>
      <c r="F184" t="s">
        <v>303</v>
      </c>
      <c r="G184">
        <v>6</v>
      </c>
      <c r="H184" s="2">
        <v>8502.2800000000007</v>
      </c>
      <c r="I184" s="3">
        <v>0.05</v>
      </c>
      <c r="J184" s="2">
        <v>51013.69</v>
      </c>
      <c r="K184" s="2">
        <v>48463.01</v>
      </c>
    </row>
    <row r="185" spans="1:11" x14ac:dyDescent="0.3">
      <c r="A185" t="s">
        <v>304</v>
      </c>
      <c r="B185" s="1">
        <v>45916</v>
      </c>
      <c r="C185" t="s">
        <v>17</v>
      </c>
      <c r="D185" t="s">
        <v>28</v>
      </c>
      <c r="E185" t="s">
        <v>87</v>
      </c>
      <c r="F185" t="s">
        <v>194</v>
      </c>
      <c r="G185">
        <v>6</v>
      </c>
      <c r="H185" s="2">
        <v>2300.21</v>
      </c>
      <c r="I185" s="3">
        <v>0.05</v>
      </c>
      <c r="J185" s="2">
        <v>13801.25</v>
      </c>
      <c r="K185" s="2">
        <v>13111.19</v>
      </c>
    </row>
    <row r="186" spans="1:11" x14ac:dyDescent="0.3">
      <c r="A186" t="s">
        <v>305</v>
      </c>
      <c r="B186" s="1">
        <v>45918</v>
      </c>
      <c r="C186" t="s">
        <v>25</v>
      </c>
      <c r="D186" t="s">
        <v>18</v>
      </c>
      <c r="E186" t="s">
        <v>32</v>
      </c>
      <c r="F186" t="s">
        <v>141</v>
      </c>
      <c r="G186">
        <v>1</v>
      </c>
      <c r="H186" s="2">
        <v>516.91</v>
      </c>
      <c r="I186" s="3">
        <v>0.1</v>
      </c>
      <c r="J186" s="2">
        <v>516.91</v>
      </c>
      <c r="K186" s="2">
        <v>465.22</v>
      </c>
    </row>
    <row r="187" spans="1:11" x14ac:dyDescent="0.3">
      <c r="A187" t="s">
        <v>306</v>
      </c>
      <c r="B187" s="1">
        <v>45918</v>
      </c>
      <c r="C187" t="s">
        <v>12</v>
      </c>
      <c r="D187" t="s">
        <v>13</v>
      </c>
      <c r="E187" t="s">
        <v>42</v>
      </c>
      <c r="F187" t="s">
        <v>118</v>
      </c>
      <c r="G187">
        <v>3</v>
      </c>
      <c r="H187" s="2">
        <v>7101.13</v>
      </c>
      <c r="I187" s="3">
        <v>0</v>
      </c>
      <c r="J187" s="2">
        <v>21303.39</v>
      </c>
      <c r="K187" s="2">
        <v>21303.39</v>
      </c>
    </row>
    <row r="188" spans="1:11" x14ac:dyDescent="0.3">
      <c r="A188" t="s">
        <v>307</v>
      </c>
      <c r="B188" s="1">
        <v>45919</v>
      </c>
      <c r="C188" t="s">
        <v>12</v>
      </c>
      <c r="D188" t="s">
        <v>13</v>
      </c>
      <c r="E188" t="s">
        <v>14</v>
      </c>
      <c r="F188" t="s">
        <v>213</v>
      </c>
      <c r="G188">
        <v>4</v>
      </c>
      <c r="H188" s="2">
        <v>4187.6899999999996</v>
      </c>
      <c r="I188" s="3">
        <v>0</v>
      </c>
      <c r="J188" s="2">
        <v>16750.759999999998</v>
      </c>
      <c r="K188" s="2">
        <v>16750.759999999998</v>
      </c>
    </row>
    <row r="189" spans="1:11" x14ac:dyDescent="0.3">
      <c r="A189" t="s">
        <v>308</v>
      </c>
      <c r="B189" s="1">
        <v>45919</v>
      </c>
      <c r="C189" t="s">
        <v>12</v>
      </c>
      <c r="D189" t="s">
        <v>28</v>
      </c>
      <c r="E189" t="s">
        <v>113</v>
      </c>
      <c r="F189" t="s">
        <v>122</v>
      </c>
      <c r="G189">
        <v>1</v>
      </c>
      <c r="H189" s="2">
        <v>26595.24</v>
      </c>
      <c r="I189" s="3">
        <v>0.1</v>
      </c>
      <c r="J189" s="2">
        <v>26595.24</v>
      </c>
      <c r="K189" s="2">
        <v>23935.72</v>
      </c>
    </row>
    <row r="190" spans="1:11" x14ac:dyDescent="0.3">
      <c r="A190" t="s">
        <v>309</v>
      </c>
      <c r="B190" s="1">
        <v>45919</v>
      </c>
      <c r="C190" t="s">
        <v>12</v>
      </c>
      <c r="D190" t="s">
        <v>28</v>
      </c>
      <c r="E190" t="s">
        <v>87</v>
      </c>
      <c r="F190" t="s">
        <v>310</v>
      </c>
      <c r="G190">
        <v>5</v>
      </c>
      <c r="H190" s="2">
        <v>2582.59</v>
      </c>
      <c r="I190" s="3">
        <v>0</v>
      </c>
      <c r="J190" s="2">
        <v>12912.95</v>
      </c>
      <c r="K190" s="2">
        <v>12912.95</v>
      </c>
    </row>
    <row r="191" spans="1:11" x14ac:dyDescent="0.3">
      <c r="A191" t="s">
        <v>311</v>
      </c>
      <c r="B191" s="1">
        <v>45921</v>
      </c>
      <c r="C191" t="s">
        <v>17</v>
      </c>
      <c r="D191" t="s">
        <v>13</v>
      </c>
      <c r="E191" t="s">
        <v>50</v>
      </c>
      <c r="F191" t="s">
        <v>63</v>
      </c>
      <c r="G191">
        <v>2</v>
      </c>
      <c r="H191" s="2">
        <v>9265.2999999999993</v>
      </c>
      <c r="I191" s="3">
        <v>0.05</v>
      </c>
      <c r="J191" s="2">
        <v>18530.59</v>
      </c>
      <c r="K191" s="2">
        <v>17604.060000000001</v>
      </c>
    </row>
    <row r="192" spans="1:11" x14ac:dyDescent="0.3">
      <c r="A192" t="s">
        <v>312</v>
      </c>
      <c r="B192" s="1">
        <v>45924</v>
      </c>
      <c r="C192" t="s">
        <v>25</v>
      </c>
      <c r="D192" t="s">
        <v>18</v>
      </c>
      <c r="E192" t="s">
        <v>22</v>
      </c>
      <c r="F192" t="s">
        <v>99</v>
      </c>
      <c r="G192">
        <v>1</v>
      </c>
      <c r="H192" s="2">
        <v>1903.72</v>
      </c>
      <c r="I192" s="3">
        <v>0.1</v>
      </c>
      <c r="J192" s="2">
        <v>1903.72</v>
      </c>
      <c r="K192" s="2">
        <v>1713.34</v>
      </c>
    </row>
    <row r="193" spans="1:11" x14ac:dyDescent="0.3">
      <c r="A193" t="s">
        <v>313</v>
      </c>
      <c r="B193" s="1">
        <v>45927</v>
      </c>
      <c r="C193" t="s">
        <v>17</v>
      </c>
      <c r="D193" t="s">
        <v>13</v>
      </c>
      <c r="E193" t="s">
        <v>14</v>
      </c>
      <c r="F193" t="s">
        <v>265</v>
      </c>
      <c r="G193">
        <v>7</v>
      </c>
      <c r="H193" s="2">
        <v>4540.18</v>
      </c>
      <c r="I193" s="3">
        <v>0.05</v>
      </c>
      <c r="J193" s="2">
        <v>31781.27</v>
      </c>
      <c r="K193" s="2">
        <v>30192.2</v>
      </c>
    </row>
    <row r="194" spans="1:11" x14ac:dyDescent="0.3">
      <c r="A194" t="s">
        <v>314</v>
      </c>
      <c r="B194" s="1">
        <v>45929</v>
      </c>
      <c r="C194" t="s">
        <v>41</v>
      </c>
      <c r="D194" t="s">
        <v>13</v>
      </c>
      <c r="E194" t="s">
        <v>14</v>
      </c>
      <c r="F194" t="s">
        <v>315</v>
      </c>
      <c r="G194">
        <v>5</v>
      </c>
      <c r="H194" s="2">
        <v>4167.07</v>
      </c>
      <c r="I194" s="3">
        <v>0.05</v>
      </c>
      <c r="J194" s="2">
        <v>20835.349999999999</v>
      </c>
      <c r="K194" s="2">
        <v>19793.580000000002</v>
      </c>
    </row>
    <row r="195" spans="1:11" x14ac:dyDescent="0.3">
      <c r="A195" t="s">
        <v>316</v>
      </c>
      <c r="B195" s="1">
        <v>45934</v>
      </c>
      <c r="C195" t="s">
        <v>12</v>
      </c>
      <c r="D195" t="s">
        <v>28</v>
      </c>
      <c r="E195" t="s">
        <v>113</v>
      </c>
      <c r="F195" t="s">
        <v>94</v>
      </c>
      <c r="G195">
        <v>4</v>
      </c>
      <c r="H195" s="2">
        <v>29964.720000000001</v>
      </c>
      <c r="I195" s="3">
        <v>0</v>
      </c>
      <c r="J195" s="2">
        <v>119858.86</v>
      </c>
      <c r="K195" s="2">
        <v>119858.86</v>
      </c>
    </row>
    <row r="196" spans="1:11" x14ac:dyDescent="0.3">
      <c r="A196" t="s">
        <v>317</v>
      </c>
      <c r="B196" s="1">
        <v>45935</v>
      </c>
      <c r="C196" t="s">
        <v>41</v>
      </c>
      <c r="D196" t="s">
        <v>18</v>
      </c>
      <c r="E196" t="s">
        <v>53</v>
      </c>
      <c r="F196" t="s">
        <v>318</v>
      </c>
      <c r="G196">
        <v>4</v>
      </c>
      <c r="H196" s="2">
        <v>1707.7</v>
      </c>
      <c r="I196" s="3">
        <v>0.1</v>
      </c>
      <c r="J196" s="2">
        <v>6830.78</v>
      </c>
      <c r="K196" s="2">
        <v>6147.7</v>
      </c>
    </row>
    <row r="197" spans="1:11" x14ac:dyDescent="0.3">
      <c r="A197" t="s">
        <v>319</v>
      </c>
      <c r="B197" s="1">
        <v>45937</v>
      </c>
      <c r="C197" t="s">
        <v>41</v>
      </c>
      <c r="D197" t="s">
        <v>18</v>
      </c>
      <c r="E197" t="s">
        <v>82</v>
      </c>
      <c r="F197" t="s">
        <v>320</v>
      </c>
      <c r="G197">
        <v>5</v>
      </c>
      <c r="H197" s="2">
        <v>8092.49</v>
      </c>
      <c r="I197" s="3">
        <v>0.1</v>
      </c>
      <c r="J197" s="2">
        <v>40462.44</v>
      </c>
      <c r="K197" s="2">
        <v>36416.199999999997</v>
      </c>
    </row>
    <row r="198" spans="1:11" x14ac:dyDescent="0.3">
      <c r="A198" t="s">
        <v>321</v>
      </c>
      <c r="B198" s="1">
        <v>45941</v>
      </c>
      <c r="C198" t="s">
        <v>25</v>
      </c>
      <c r="D198" t="s">
        <v>35</v>
      </c>
      <c r="E198" t="s">
        <v>36</v>
      </c>
      <c r="F198" t="s">
        <v>310</v>
      </c>
      <c r="G198">
        <v>5</v>
      </c>
      <c r="H198" s="2">
        <v>1916.75</v>
      </c>
      <c r="I198" s="3">
        <v>0</v>
      </c>
      <c r="J198" s="2">
        <v>9583.75</v>
      </c>
      <c r="K198" s="2">
        <v>9583.75</v>
      </c>
    </row>
    <row r="199" spans="1:11" x14ac:dyDescent="0.3">
      <c r="A199" t="s">
        <v>322</v>
      </c>
      <c r="B199" s="1">
        <v>45942</v>
      </c>
      <c r="C199" t="s">
        <v>12</v>
      </c>
      <c r="D199" t="s">
        <v>28</v>
      </c>
      <c r="E199" t="s">
        <v>87</v>
      </c>
      <c r="F199" t="s">
        <v>255</v>
      </c>
      <c r="G199">
        <v>5</v>
      </c>
      <c r="H199" s="2">
        <v>2641.68</v>
      </c>
      <c r="I199" s="3">
        <v>0.05</v>
      </c>
      <c r="J199" s="2">
        <v>13208.42</v>
      </c>
      <c r="K199" s="2">
        <v>12548</v>
      </c>
    </row>
    <row r="200" spans="1:11" x14ac:dyDescent="0.3">
      <c r="A200" t="s">
        <v>323</v>
      </c>
      <c r="B200" s="1">
        <v>45943</v>
      </c>
      <c r="C200" t="s">
        <v>17</v>
      </c>
      <c r="D200" t="s">
        <v>35</v>
      </c>
      <c r="E200" t="s">
        <v>131</v>
      </c>
      <c r="F200" t="s">
        <v>324</v>
      </c>
      <c r="G200">
        <v>3</v>
      </c>
      <c r="H200" s="2">
        <v>3665.35</v>
      </c>
      <c r="I200" s="3">
        <v>0</v>
      </c>
      <c r="J200" s="2">
        <v>10996.05</v>
      </c>
      <c r="K200" s="2">
        <v>10996.05</v>
      </c>
    </row>
    <row r="201" spans="1:11" x14ac:dyDescent="0.3">
      <c r="A201" t="s">
        <v>325</v>
      </c>
      <c r="B201" s="1">
        <v>45945</v>
      </c>
      <c r="C201" t="s">
        <v>25</v>
      </c>
      <c r="D201" t="s">
        <v>13</v>
      </c>
      <c r="E201" t="s">
        <v>14</v>
      </c>
      <c r="F201" t="s">
        <v>116</v>
      </c>
      <c r="G201">
        <v>3</v>
      </c>
      <c r="H201" s="2">
        <v>4337.8100000000004</v>
      </c>
      <c r="I201" s="3">
        <v>0</v>
      </c>
      <c r="J201" s="2">
        <v>13013.42</v>
      </c>
      <c r="K201" s="2">
        <v>13013.42</v>
      </c>
    </row>
    <row r="202" spans="1:11" x14ac:dyDescent="0.3">
      <c r="A202" t="s">
        <v>326</v>
      </c>
      <c r="B202" s="1">
        <v>45949</v>
      </c>
      <c r="C202" t="s">
        <v>25</v>
      </c>
      <c r="D202" t="s">
        <v>28</v>
      </c>
      <c r="E202" t="s">
        <v>113</v>
      </c>
      <c r="F202" t="s">
        <v>327</v>
      </c>
      <c r="G202">
        <v>3</v>
      </c>
      <c r="H202" s="2">
        <v>28632.34</v>
      </c>
      <c r="I202" s="3">
        <v>0.1</v>
      </c>
      <c r="J202" s="2">
        <v>85897.02</v>
      </c>
      <c r="K202" s="2">
        <v>77307.320000000007</v>
      </c>
    </row>
    <row r="203" spans="1:11" x14ac:dyDescent="0.3">
      <c r="A203" t="s">
        <v>328</v>
      </c>
      <c r="B203" s="1">
        <v>45950</v>
      </c>
      <c r="C203" t="s">
        <v>12</v>
      </c>
      <c r="D203" t="s">
        <v>28</v>
      </c>
      <c r="E203" t="s">
        <v>45</v>
      </c>
      <c r="F203" t="s">
        <v>327</v>
      </c>
      <c r="G203">
        <v>1</v>
      </c>
      <c r="H203" s="2">
        <v>66868.33</v>
      </c>
      <c r="I203" s="3">
        <v>0</v>
      </c>
      <c r="J203" s="2">
        <v>66868.33</v>
      </c>
      <c r="K203" s="2">
        <v>66868.33</v>
      </c>
    </row>
    <row r="204" spans="1:11" x14ac:dyDescent="0.3">
      <c r="A204" t="s">
        <v>329</v>
      </c>
      <c r="B204" s="1">
        <v>45950</v>
      </c>
      <c r="C204" t="s">
        <v>12</v>
      </c>
      <c r="D204" t="s">
        <v>35</v>
      </c>
      <c r="E204" t="s">
        <v>67</v>
      </c>
      <c r="F204" t="s">
        <v>118</v>
      </c>
      <c r="G204">
        <v>4</v>
      </c>
      <c r="H204" s="2">
        <v>4114.55</v>
      </c>
      <c r="I204" s="3">
        <v>0.05</v>
      </c>
      <c r="J204" s="2">
        <v>16458.22</v>
      </c>
      <c r="K204" s="2">
        <v>15635.31</v>
      </c>
    </row>
    <row r="205" spans="1:11" x14ac:dyDescent="0.3">
      <c r="A205" t="s">
        <v>330</v>
      </c>
      <c r="B205" s="1">
        <v>45951</v>
      </c>
      <c r="C205" t="s">
        <v>25</v>
      </c>
      <c r="D205" t="s">
        <v>28</v>
      </c>
      <c r="E205" t="s">
        <v>87</v>
      </c>
      <c r="F205" t="s">
        <v>265</v>
      </c>
      <c r="G205">
        <v>7</v>
      </c>
      <c r="H205" s="2">
        <v>2465.8000000000002</v>
      </c>
      <c r="I205" s="3">
        <v>0.1</v>
      </c>
      <c r="J205" s="2">
        <v>17260.61</v>
      </c>
      <c r="K205" s="2">
        <v>15534.55</v>
      </c>
    </row>
    <row r="206" spans="1:11" x14ac:dyDescent="0.3">
      <c r="A206" t="s">
        <v>331</v>
      </c>
      <c r="B206" s="1">
        <v>45957</v>
      </c>
      <c r="C206" t="s">
        <v>25</v>
      </c>
      <c r="D206" t="s">
        <v>35</v>
      </c>
      <c r="E206" t="s">
        <v>131</v>
      </c>
      <c r="F206" t="s">
        <v>194</v>
      </c>
      <c r="G206">
        <v>7</v>
      </c>
      <c r="H206" s="2">
        <v>3462.85</v>
      </c>
      <c r="I206" s="3">
        <v>0</v>
      </c>
      <c r="J206" s="2">
        <v>24239.93</v>
      </c>
      <c r="K206" s="2">
        <v>24239.93</v>
      </c>
    </row>
    <row r="207" spans="1:11" x14ac:dyDescent="0.3">
      <c r="A207" t="s">
        <v>332</v>
      </c>
      <c r="B207" s="1">
        <v>45958</v>
      </c>
      <c r="C207" t="s">
        <v>41</v>
      </c>
      <c r="D207" t="s">
        <v>28</v>
      </c>
      <c r="E207" t="s">
        <v>29</v>
      </c>
      <c r="F207" t="s">
        <v>237</v>
      </c>
      <c r="G207">
        <v>5</v>
      </c>
      <c r="H207" s="2">
        <v>7011.13</v>
      </c>
      <c r="I207" s="3">
        <v>0</v>
      </c>
      <c r="J207" s="2">
        <v>35055.67</v>
      </c>
      <c r="K207" s="2">
        <v>35055.67</v>
      </c>
    </row>
    <row r="208" spans="1:11" x14ac:dyDescent="0.3">
      <c r="A208" t="s">
        <v>333</v>
      </c>
      <c r="B208" s="1">
        <v>45959</v>
      </c>
      <c r="C208" t="s">
        <v>12</v>
      </c>
      <c r="D208" t="s">
        <v>28</v>
      </c>
      <c r="E208" t="s">
        <v>87</v>
      </c>
      <c r="F208" t="s">
        <v>310</v>
      </c>
      <c r="G208">
        <v>4</v>
      </c>
      <c r="H208" s="2">
        <v>2306.1799999999998</v>
      </c>
      <c r="I208" s="3">
        <v>0.15</v>
      </c>
      <c r="J208" s="2">
        <v>9224.73</v>
      </c>
      <c r="K208" s="2">
        <v>7841.02</v>
      </c>
    </row>
    <row r="209" spans="1:11" x14ac:dyDescent="0.3">
      <c r="A209" t="s">
        <v>334</v>
      </c>
      <c r="B209" s="1">
        <v>45959</v>
      </c>
      <c r="C209" t="s">
        <v>25</v>
      </c>
      <c r="D209" t="s">
        <v>13</v>
      </c>
      <c r="E209" t="s">
        <v>70</v>
      </c>
      <c r="F209" t="s">
        <v>63</v>
      </c>
      <c r="G209">
        <v>4</v>
      </c>
      <c r="H209" s="2">
        <v>5301.09</v>
      </c>
      <c r="I209" s="3">
        <v>0</v>
      </c>
      <c r="J209" s="2">
        <v>21204.34</v>
      </c>
      <c r="K209" s="2">
        <v>21204.34</v>
      </c>
    </row>
    <row r="210" spans="1:11" x14ac:dyDescent="0.3">
      <c r="A210" t="s">
        <v>335</v>
      </c>
      <c r="B210" s="1">
        <v>45962</v>
      </c>
      <c r="C210" t="s">
        <v>25</v>
      </c>
      <c r="D210" t="s">
        <v>18</v>
      </c>
      <c r="E210" t="s">
        <v>32</v>
      </c>
      <c r="F210" t="s">
        <v>90</v>
      </c>
      <c r="G210">
        <v>4</v>
      </c>
      <c r="H210" s="2">
        <v>466.03</v>
      </c>
      <c r="I210" s="3">
        <v>0</v>
      </c>
      <c r="J210" s="2">
        <v>1864.14</v>
      </c>
      <c r="K210" s="2">
        <v>1864.14</v>
      </c>
    </row>
    <row r="211" spans="1:11" x14ac:dyDescent="0.3">
      <c r="A211" t="s">
        <v>336</v>
      </c>
      <c r="B211" s="1">
        <v>45963</v>
      </c>
      <c r="C211" t="s">
        <v>25</v>
      </c>
      <c r="D211" t="s">
        <v>13</v>
      </c>
      <c r="E211" t="s">
        <v>14</v>
      </c>
      <c r="F211" t="s">
        <v>15</v>
      </c>
      <c r="G211">
        <v>6</v>
      </c>
      <c r="H211" s="2">
        <v>4587.0600000000004</v>
      </c>
      <c r="I211" s="3">
        <v>0</v>
      </c>
      <c r="J211" s="2">
        <v>27522.36</v>
      </c>
      <c r="K211" s="2">
        <v>27522.36</v>
      </c>
    </row>
    <row r="212" spans="1:11" x14ac:dyDescent="0.3">
      <c r="A212" t="s">
        <v>337</v>
      </c>
      <c r="B212" s="1">
        <v>45963</v>
      </c>
      <c r="C212" t="s">
        <v>41</v>
      </c>
      <c r="D212" t="s">
        <v>18</v>
      </c>
      <c r="E212" t="s">
        <v>82</v>
      </c>
      <c r="F212" t="s">
        <v>338</v>
      </c>
      <c r="G212">
        <v>2</v>
      </c>
      <c r="H212" s="2">
        <v>8527.6200000000008</v>
      </c>
      <c r="I212" s="3">
        <v>0.1</v>
      </c>
      <c r="J212" s="2">
        <v>17055.240000000002</v>
      </c>
      <c r="K212" s="2">
        <v>15349.71</v>
      </c>
    </row>
    <row r="213" spans="1:11" x14ac:dyDescent="0.3">
      <c r="A213" t="s">
        <v>339</v>
      </c>
      <c r="B213" s="1">
        <v>45966</v>
      </c>
      <c r="C213" t="s">
        <v>41</v>
      </c>
      <c r="D213" t="s">
        <v>18</v>
      </c>
      <c r="E213" t="s">
        <v>19</v>
      </c>
      <c r="F213" t="s">
        <v>99</v>
      </c>
      <c r="G213">
        <v>1</v>
      </c>
      <c r="H213" s="2">
        <v>11722.3</v>
      </c>
      <c r="I213" s="3">
        <v>0.05</v>
      </c>
      <c r="J213" s="2">
        <v>11722.3</v>
      </c>
      <c r="K213" s="2">
        <v>11136.18</v>
      </c>
    </row>
    <row r="214" spans="1:11" x14ac:dyDescent="0.3">
      <c r="A214" t="s">
        <v>340</v>
      </c>
      <c r="B214" s="1">
        <v>45968</v>
      </c>
      <c r="C214" t="s">
        <v>12</v>
      </c>
      <c r="D214" t="s">
        <v>13</v>
      </c>
      <c r="E214" t="s">
        <v>70</v>
      </c>
      <c r="F214" t="s">
        <v>108</v>
      </c>
      <c r="G214">
        <v>6</v>
      </c>
      <c r="H214" s="2">
        <v>5310.88</v>
      </c>
      <c r="I214" s="3">
        <v>0</v>
      </c>
      <c r="J214" s="2">
        <v>31865.3</v>
      </c>
      <c r="K214" s="2">
        <v>31865.3</v>
      </c>
    </row>
    <row r="215" spans="1:11" x14ac:dyDescent="0.3">
      <c r="A215" t="s">
        <v>341</v>
      </c>
      <c r="B215" s="1">
        <v>45970</v>
      </c>
      <c r="C215" t="s">
        <v>12</v>
      </c>
      <c r="D215" t="s">
        <v>18</v>
      </c>
      <c r="E215" t="s">
        <v>22</v>
      </c>
      <c r="F215" t="s">
        <v>240</v>
      </c>
      <c r="G215">
        <v>7</v>
      </c>
      <c r="H215" s="2">
        <v>1671.77</v>
      </c>
      <c r="I215" s="3">
        <v>0</v>
      </c>
      <c r="J215" s="2">
        <v>11702.4</v>
      </c>
      <c r="K215" s="2">
        <v>11702.4</v>
      </c>
    </row>
    <row r="216" spans="1:11" x14ac:dyDescent="0.3">
      <c r="A216" t="s">
        <v>342</v>
      </c>
      <c r="B216" s="1">
        <v>45971</v>
      </c>
      <c r="C216" t="s">
        <v>25</v>
      </c>
      <c r="D216" t="s">
        <v>13</v>
      </c>
      <c r="E216" t="s">
        <v>70</v>
      </c>
      <c r="F216" t="s">
        <v>240</v>
      </c>
      <c r="G216">
        <v>7</v>
      </c>
      <c r="H216" s="2">
        <v>5130.5</v>
      </c>
      <c r="I216" s="3">
        <v>0.1</v>
      </c>
      <c r="J216" s="2">
        <v>35913.51</v>
      </c>
      <c r="K216" s="2">
        <v>32322.16</v>
      </c>
    </row>
    <row r="217" spans="1:11" x14ac:dyDescent="0.3">
      <c r="A217" t="s">
        <v>343</v>
      </c>
      <c r="B217" s="1">
        <v>45972</v>
      </c>
      <c r="C217" t="s">
        <v>12</v>
      </c>
      <c r="D217" t="s">
        <v>28</v>
      </c>
      <c r="E217" t="s">
        <v>29</v>
      </c>
      <c r="F217" t="s">
        <v>194</v>
      </c>
      <c r="G217">
        <v>2</v>
      </c>
      <c r="H217" s="2">
        <v>6611.86</v>
      </c>
      <c r="I217" s="3">
        <v>0</v>
      </c>
      <c r="J217" s="2">
        <v>13223.71</v>
      </c>
      <c r="K217" s="2">
        <v>13223.71</v>
      </c>
    </row>
    <row r="218" spans="1:11" x14ac:dyDescent="0.3">
      <c r="A218" t="s">
        <v>344</v>
      </c>
      <c r="B218" s="1">
        <v>45973</v>
      </c>
      <c r="C218" t="s">
        <v>25</v>
      </c>
      <c r="D218" t="s">
        <v>18</v>
      </c>
      <c r="E218" t="s">
        <v>22</v>
      </c>
      <c r="F218" t="s">
        <v>230</v>
      </c>
      <c r="G218">
        <v>1</v>
      </c>
      <c r="H218" s="2">
        <v>1674.73</v>
      </c>
      <c r="I218" s="3">
        <v>0.15</v>
      </c>
      <c r="J218" s="2">
        <v>1674.73</v>
      </c>
      <c r="K218" s="2">
        <v>1423.52</v>
      </c>
    </row>
    <row r="219" spans="1:11" x14ac:dyDescent="0.3">
      <c r="A219" t="s">
        <v>345</v>
      </c>
      <c r="B219" s="1">
        <v>45973</v>
      </c>
      <c r="C219" t="s">
        <v>25</v>
      </c>
      <c r="D219" t="s">
        <v>18</v>
      </c>
      <c r="E219" t="s">
        <v>82</v>
      </c>
      <c r="F219" t="s">
        <v>265</v>
      </c>
      <c r="G219">
        <v>3</v>
      </c>
      <c r="H219" s="2">
        <v>8168.44</v>
      </c>
      <c r="I219" s="3">
        <v>0.05</v>
      </c>
      <c r="J219" s="2">
        <v>24505.32</v>
      </c>
      <c r="K219" s="2">
        <v>23280.06</v>
      </c>
    </row>
    <row r="220" spans="1:11" x14ac:dyDescent="0.3">
      <c r="A220" t="s">
        <v>346</v>
      </c>
      <c r="B220" s="1">
        <v>45974</v>
      </c>
      <c r="C220" t="s">
        <v>41</v>
      </c>
      <c r="D220" t="s">
        <v>28</v>
      </c>
      <c r="E220" t="s">
        <v>29</v>
      </c>
      <c r="F220" t="s">
        <v>171</v>
      </c>
      <c r="G220">
        <v>7</v>
      </c>
      <c r="H220" s="2">
        <v>6492.22</v>
      </c>
      <c r="I220" s="3">
        <v>0</v>
      </c>
      <c r="J220" s="2">
        <v>45445.53</v>
      </c>
      <c r="K220" s="2">
        <v>45445.53</v>
      </c>
    </row>
    <row r="221" spans="1:11" x14ac:dyDescent="0.3">
      <c r="A221" t="s">
        <v>347</v>
      </c>
      <c r="B221" s="1">
        <v>45977</v>
      </c>
      <c r="C221" t="s">
        <v>25</v>
      </c>
      <c r="D221" t="s">
        <v>28</v>
      </c>
      <c r="E221" t="s">
        <v>113</v>
      </c>
      <c r="F221" t="s">
        <v>228</v>
      </c>
      <c r="G221">
        <v>4</v>
      </c>
      <c r="H221" s="2">
        <v>27458.94</v>
      </c>
      <c r="I221" s="3">
        <v>0.15</v>
      </c>
      <c r="J221" s="2">
        <v>109835.78</v>
      </c>
      <c r="K221" s="2">
        <v>93360.41</v>
      </c>
    </row>
    <row r="222" spans="1:11" x14ac:dyDescent="0.3">
      <c r="A222" t="s">
        <v>348</v>
      </c>
      <c r="B222" s="1">
        <v>45980</v>
      </c>
      <c r="C222" t="s">
        <v>41</v>
      </c>
      <c r="D222" t="s">
        <v>35</v>
      </c>
      <c r="E222" t="s">
        <v>67</v>
      </c>
      <c r="F222" t="s">
        <v>217</v>
      </c>
      <c r="G222">
        <v>1</v>
      </c>
      <c r="H222" s="2">
        <v>4129.2299999999996</v>
      </c>
      <c r="I222" s="3">
        <v>0.1</v>
      </c>
      <c r="J222" s="2">
        <v>4129.2299999999996</v>
      </c>
      <c r="K222" s="2">
        <v>3716.31</v>
      </c>
    </row>
    <row r="223" spans="1:11" x14ac:dyDescent="0.3">
      <c r="A223" t="s">
        <v>349</v>
      </c>
      <c r="B223" s="1">
        <v>45983</v>
      </c>
      <c r="C223" t="s">
        <v>12</v>
      </c>
      <c r="D223" t="s">
        <v>28</v>
      </c>
      <c r="E223" t="s">
        <v>101</v>
      </c>
      <c r="F223" t="s">
        <v>122</v>
      </c>
      <c r="G223">
        <v>2</v>
      </c>
      <c r="H223" s="2">
        <v>21220.639999999999</v>
      </c>
      <c r="I223" s="3">
        <v>0</v>
      </c>
      <c r="J223" s="2">
        <v>42441.279999999999</v>
      </c>
      <c r="K223" s="2">
        <v>42441.279999999999</v>
      </c>
    </row>
    <row r="224" spans="1:11" x14ac:dyDescent="0.3">
      <c r="A224" t="s">
        <v>350</v>
      </c>
      <c r="B224" s="1">
        <v>45987</v>
      </c>
      <c r="C224" t="s">
        <v>17</v>
      </c>
      <c r="D224" t="s">
        <v>35</v>
      </c>
      <c r="E224" t="s">
        <v>36</v>
      </c>
      <c r="F224" t="s">
        <v>286</v>
      </c>
      <c r="G224">
        <v>5</v>
      </c>
      <c r="H224" s="2">
        <v>1843.1</v>
      </c>
      <c r="I224" s="3">
        <v>0.05</v>
      </c>
      <c r="J224" s="2">
        <v>9215.49</v>
      </c>
      <c r="K224" s="2">
        <v>8754.7199999999993</v>
      </c>
    </row>
    <row r="225" spans="1:11" x14ac:dyDescent="0.3">
      <c r="A225" t="s">
        <v>351</v>
      </c>
      <c r="B225" s="1">
        <v>45991</v>
      </c>
      <c r="C225" t="s">
        <v>12</v>
      </c>
      <c r="D225" t="s">
        <v>13</v>
      </c>
      <c r="E225" t="s">
        <v>14</v>
      </c>
      <c r="F225" t="s">
        <v>255</v>
      </c>
      <c r="G225">
        <v>5</v>
      </c>
      <c r="H225" s="2">
        <v>4738.05</v>
      </c>
      <c r="I225" s="3">
        <v>0.15</v>
      </c>
      <c r="J225" s="2">
        <v>23690.23</v>
      </c>
      <c r="K225" s="2">
        <v>20136.7</v>
      </c>
    </row>
    <row r="226" spans="1:11" x14ac:dyDescent="0.3">
      <c r="A226" t="s">
        <v>352</v>
      </c>
      <c r="B226" s="1">
        <v>45992</v>
      </c>
      <c r="C226" t="s">
        <v>41</v>
      </c>
      <c r="D226" t="s">
        <v>18</v>
      </c>
      <c r="E226" t="s">
        <v>82</v>
      </c>
      <c r="F226" t="s">
        <v>57</v>
      </c>
      <c r="G226">
        <v>4</v>
      </c>
      <c r="H226" s="2">
        <v>8564.5300000000007</v>
      </c>
      <c r="I226" s="3">
        <v>0.05</v>
      </c>
      <c r="J226" s="2">
        <v>34258.11</v>
      </c>
      <c r="K226" s="2">
        <v>32545.200000000001</v>
      </c>
    </row>
    <row r="227" spans="1:11" x14ac:dyDescent="0.3">
      <c r="A227" t="s">
        <v>353</v>
      </c>
      <c r="B227" s="1">
        <v>45992</v>
      </c>
      <c r="C227" t="s">
        <v>17</v>
      </c>
      <c r="D227" t="s">
        <v>35</v>
      </c>
      <c r="E227" t="s">
        <v>67</v>
      </c>
      <c r="F227" t="s">
        <v>99</v>
      </c>
      <c r="G227">
        <v>6</v>
      </c>
      <c r="H227" s="2">
        <v>4272.6400000000003</v>
      </c>
      <c r="I227" s="3">
        <v>0.05</v>
      </c>
      <c r="J227" s="2">
        <v>25635.81</v>
      </c>
      <c r="K227" s="2">
        <v>24354.02</v>
      </c>
    </row>
    <row r="228" spans="1:11" x14ac:dyDescent="0.3">
      <c r="A228" t="s">
        <v>354</v>
      </c>
      <c r="B228" s="1">
        <v>45993</v>
      </c>
      <c r="C228" t="s">
        <v>17</v>
      </c>
      <c r="D228" t="s">
        <v>35</v>
      </c>
      <c r="E228" t="s">
        <v>56</v>
      </c>
      <c r="F228" t="s">
        <v>43</v>
      </c>
      <c r="G228">
        <v>5</v>
      </c>
      <c r="H228" s="2">
        <v>1852.98</v>
      </c>
      <c r="I228" s="3">
        <v>0.05</v>
      </c>
      <c r="J228" s="2">
        <v>9264.91</v>
      </c>
      <c r="K228" s="2">
        <v>8801.66</v>
      </c>
    </row>
    <row r="229" spans="1:11" x14ac:dyDescent="0.3">
      <c r="A229" t="s">
        <v>355</v>
      </c>
      <c r="B229" s="1">
        <v>45996</v>
      </c>
      <c r="C229" t="s">
        <v>41</v>
      </c>
      <c r="D229" t="s">
        <v>13</v>
      </c>
      <c r="E229" t="s">
        <v>70</v>
      </c>
      <c r="F229" t="s">
        <v>338</v>
      </c>
      <c r="G229">
        <v>2</v>
      </c>
      <c r="H229" s="2">
        <v>5189.01</v>
      </c>
      <c r="I229" s="3">
        <v>0.05</v>
      </c>
      <c r="J229" s="2">
        <v>10378.02</v>
      </c>
      <c r="K229" s="2">
        <v>9859.1200000000008</v>
      </c>
    </row>
    <row r="230" spans="1:11" x14ac:dyDescent="0.3">
      <c r="A230" t="s">
        <v>356</v>
      </c>
      <c r="B230" s="1">
        <v>45996</v>
      </c>
      <c r="C230" t="s">
        <v>41</v>
      </c>
      <c r="D230" t="s">
        <v>18</v>
      </c>
      <c r="E230" t="s">
        <v>19</v>
      </c>
      <c r="F230" t="s">
        <v>310</v>
      </c>
      <c r="G230">
        <v>7</v>
      </c>
      <c r="H230" s="2">
        <v>11206.47</v>
      </c>
      <c r="I230" s="3">
        <v>0.15</v>
      </c>
      <c r="J230" s="2">
        <v>78445.320000000007</v>
      </c>
      <c r="K230" s="2">
        <v>66678.52</v>
      </c>
    </row>
    <row r="231" spans="1:11" x14ac:dyDescent="0.3">
      <c r="A231" t="s">
        <v>357</v>
      </c>
      <c r="B231" s="1">
        <v>45998</v>
      </c>
      <c r="C231" t="s">
        <v>25</v>
      </c>
      <c r="D231" t="s">
        <v>13</v>
      </c>
      <c r="E231" t="s">
        <v>14</v>
      </c>
      <c r="F231" t="s">
        <v>114</v>
      </c>
      <c r="G231">
        <v>2</v>
      </c>
      <c r="H231" s="2">
        <v>4850.84</v>
      </c>
      <c r="I231" s="3">
        <v>0</v>
      </c>
      <c r="J231" s="2">
        <v>9701.68</v>
      </c>
      <c r="K231" s="2">
        <v>9701.68</v>
      </c>
    </row>
    <row r="232" spans="1:11" x14ac:dyDescent="0.3">
      <c r="A232" t="s">
        <v>358</v>
      </c>
      <c r="B232" s="1">
        <v>45999</v>
      </c>
      <c r="C232" t="s">
        <v>17</v>
      </c>
      <c r="D232" t="s">
        <v>18</v>
      </c>
      <c r="E232" t="s">
        <v>53</v>
      </c>
      <c r="F232" t="s">
        <v>258</v>
      </c>
      <c r="G232">
        <v>2</v>
      </c>
      <c r="H232" s="2">
        <v>1683.07</v>
      </c>
      <c r="I232" s="3">
        <v>0.05</v>
      </c>
      <c r="J232" s="2">
        <v>3366.13</v>
      </c>
      <c r="K232" s="2">
        <v>3197.83</v>
      </c>
    </row>
    <row r="233" spans="1:11" x14ac:dyDescent="0.3">
      <c r="A233" t="s">
        <v>359</v>
      </c>
      <c r="B233" s="1">
        <v>45999</v>
      </c>
      <c r="C233" t="s">
        <v>41</v>
      </c>
      <c r="D233" t="s">
        <v>35</v>
      </c>
      <c r="E233" t="s">
        <v>56</v>
      </c>
      <c r="F233" t="s">
        <v>288</v>
      </c>
      <c r="G233">
        <v>2</v>
      </c>
      <c r="H233" s="2">
        <v>1903.99</v>
      </c>
      <c r="I233" s="3">
        <v>0</v>
      </c>
      <c r="J233" s="2">
        <v>3807.98</v>
      </c>
      <c r="K233" s="2">
        <v>3807.98</v>
      </c>
    </row>
    <row r="234" spans="1:11" x14ac:dyDescent="0.3">
      <c r="A234" t="s">
        <v>360</v>
      </c>
      <c r="B234" s="1">
        <v>46000</v>
      </c>
      <c r="C234" t="s">
        <v>12</v>
      </c>
      <c r="D234" t="s">
        <v>28</v>
      </c>
      <c r="E234" t="s">
        <v>87</v>
      </c>
      <c r="F234" t="s">
        <v>39</v>
      </c>
      <c r="G234">
        <v>1</v>
      </c>
      <c r="H234" s="2">
        <v>2690.65</v>
      </c>
      <c r="I234" s="3">
        <v>0.05</v>
      </c>
      <c r="J234" s="2">
        <v>2690.65</v>
      </c>
      <c r="K234" s="2">
        <v>2556.11</v>
      </c>
    </row>
    <row r="235" spans="1:11" x14ac:dyDescent="0.3">
      <c r="A235" t="s">
        <v>361</v>
      </c>
      <c r="B235" s="1">
        <v>46005</v>
      </c>
      <c r="C235" t="s">
        <v>25</v>
      </c>
      <c r="D235" t="s">
        <v>35</v>
      </c>
      <c r="E235" t="s">
        <v>56</v>
      </c>
      <c r="F235" t="s">
        <v>362</v>
      </c>
      <c r="G235">
        <v>2</v>
      </c>
      <c r="H235" s="2">
        <v>1925.34</v>
      </c>
      <c r="I235" s="3">
        <v>0.15</v>
      </c>
      <c r="J235" s="2">
        <v>3850.68</v>
      </c>
      <c r="K235" s="2">
        <v>3273.07</v>
      </c>
    </row>
    <row r="236" spans="1:11" x14ac:dyDescent="0.3">
      <c r="A236" t="s">
        <v>363</v>
      </c>
      <c r="B236" s="1">
        <v>46005</v>
      </c>
      <c r="C236" t="s">
        <v>25</v>
      </c>
      <c r="D236" t="s">
        <v>35</v>
      </c>
      <c r="E236" t="s">
        <v>131</v>
      </c>
      <c r="F236" t="s">
        <v>114</v>
      </c>
      <c r="G236">
        <v>7</v>
      </c>
      <c r="H236" s="2">
        <v>3583.56</v>
      </c>
      <c r="I236" s="3">
        <v>0.1</v>
      </c>
      <c r="J236" s="2">
        <v>25084.9</v>
      </c>
      <c r="K236" s="2">
        <v>22576.41</v>
      </c>
    </row>
    <row r="237" spans="1:11" x14ac:dyDescent="0.3">
      <c r="A237" t="s">
        <v>364</v>
      </c>
      <c r="B237" s="1">
        <v>46006</v>
      </c>
      <c r="C237" t="s">
        <v>41</v>
      </c>
      <c r="D237" t="s">
        <v>35</v>
      </c>
      <c r="E237" t="s">
        <v>74</v>
      </c>
      <c r="F237" t="s">
        <v>165</v>
      </c>
      <c r="G237">
        <v>6</v>
      </c>
      <c r="H237" s="2">
        <v>904.37</v>
      </c>
      <c r="I237" s="3">
        <v>0</v>
      </c>
      <c r="J237" s="2">
        <v>5426.23</v>
      </c>
      <c r="K237" s="2">
        <v>5426.23</v>
      </c>
    </row>
    <row r="238" spans="1:11" x14ac:dyDescent="0.3">
      <c r="A238" t="s">
        <v>365</v>
      </c>
      <c r="B238" s="1">
        <v>46009</v>
      </c>
      <c r="C238" t="s">
        <v>17</v>
      </c>
      <c r="D238" t="s">
        <v>35</v>
      </c>
      <c r="E238" t="s">
        <v>74</v>
      </c>
      <c r="F238" t="s">
        <v>173</v>
      </c>
      <c r="G238">
        <v>2</v>
      </c>
      <c r="H238" s="2">
        <v>901.74</v>
      </c>
      <c r="I238" s="3">
        <v>0</v>
      </c>
      <c r="J238" s="2">
        <v>1803.48</v>
      </c>
      <c r="K238" s="2">
        <v>1803.48</v>
      </c>
    </row>
    <row r="239" spans="1:11" x14ac:dyDescent="0.3">
      <c r="A239" t="s">
        <v>366</v>
      </c>
      <c r="B239" s="1">
        <v>46009</v>
      </c>
      <c r="C239" t="s">
        <v>17</v>
      </c>
      <c r="D239" t="s">
        <v>18</v>
      </c>
      <c r="E239" t="s">
        <v>82</v>
      </c>
      <c r="F239" t="s">
        <v>173</v>
      </c>
      <c r="G239">
        <v>2</v>
      </c>
      <c r="H239" s="2">
        <v>8417.5</v>
      </c>
      <c r="I239" s="3">
        <v>0</v>
      </c>
      <c r="J239" s="2">
        <v>16835</v>
      </c>
      <c r="K239" s="2">
        <v>16835</v>
      </c>
    </row>
    <row r="240" spans="1:11" x14ac:dyDescent="0.3">
      <c r="A240" t="s">
        <v>367</v>
      </c>
      <c r="B240" s="1">
        <v>46010</v>
      </c>
      <c r="C240" t="s">
        <v>25</v>
      </c>
      <c r="D240" t="s">
        <v>35</v>
      </c>
      <c r="E240" t="s">
        <v>36</v>
      </c>
      <c r="F240" t="s">
        <v>189</v>
      </c>
      <c r="G240">
        <v>1</v>
      </c>
      <c r="H240" s="2">
        <v>1817.18</v>
      </c>
      <c r="I240" s="3">
        <v>0</v>
      </c>
      <c r="J240" s="2">
        <v>1817.18</v>
      </c>
      <c r="K240" s="2">
        <v>1817.18</v>
      </c>
    </row>
    <row r="241" spans="1:11" x14ac:dyDescent="0.3">
      <c r="A241" t="s">
        <v>368</v>
      </c>
      <c r="B241" s="1">
        <v>46012</v>
      </c>
      <c r="C241" t="s">
        <v>12</v>
      </c>
      <c r="D241" t="s">
        <v>28</v>
      </c>
      <c r="E241" t="s">
        <v>29</v>
      </c>
      <c r="F241" t="s">
        <v>57</v>
      </c>
      <c r="G241">
        <v>1</v>
      </c>
      <c r="H241" s="2">
        <v>6687.04</v>
      </c>
      <c r="I241" s="3">
        <v>0.1</v>
      </c>
      <c r="J241" s="2">
        <v>6687.04</v>
      </c>
      <c r="K241" s="2">
        <v>6018.33</v>
      </c>
    </row>
    <row r="242" spans="1:11" x14ac:dyDescent="0.3">
      <c r="A242" t="s">
        <v>369</v>
      </c>
      <c r="B242" s="1">
        <v>46012</v>
      </c>
      <c r="C242" t="s">
        <v>25</v>
      </c>
      <c r="D242" t="s">
        <v>18</v>
      </c>
      <c r="E242" t="s">
        <v>22</v>
      </c>
      <c r="F242" t="s">
        <v>225</v>
      </c>
      <c r="G242">
        <v>2</v>
      </c>
      <c r="H242" s="2">
        <v>1837.89</v>
      </c>
      <c r="I242" s="3">
        <v>0.1</v>
      </c>
      <c r="J242" s="2">
        <v>3675.78</v>
      </c>
      <c r="K242" s="2">
        <v>3308.2</v>
      </c>
    </row>
    <row r="243" spans="1:11" x14ac:dyDescent="0.3">
      <c r="A243" t="s">
        <v>370</v>
      </c>
      <c r="B243" s="1">
        <v>46013</v>
      </c>
      <c r="C243" t="s">
        <v>12</v>
      </c>
      <c r="D243" t="s">
        <v>28</v>
      </c>
      <c r="E243" t="s">
        <v>87</v>
      </c>
      <c r="F243" t="s">
        <v>118</v>
      </c>
      <c r="G243">
        <v>6</v>
      </c>
      <c r="H243" s="2">
        <v>2665.72</v>
      </c>
      <c r="I243" s="3">
        <v>0</v>
      </c>
      <c r="J243" s="2">
        <v>15994.32</v>
      </c>
      <c r="K243" s="2">
        <v>15994.32</v>
      </c>
    </row>
    <row r="244" spans="1:11" x14ac:dyDescent="0.3">
      <c r="A244" t="s">
        <v>371</v>
      </c>
      <c r="B244" s="1">
        <v>46013</v>
      </c>
      <c r="C244" t="s">
        <v>41</v>
      </c>
      <c r="D244" t="s">
        <v>28</v>
      </c>
      <c r="E244" t="s">
        <v>45</v>
      </c>
      <c r="F244" t="s">
        <v>372</v>
      </c>
      <c r="G244">
        <v>7</v>
      </c>
      <c r="H244" s="2">
        <v>67351.39</v>
      </c>
      <c r="I244" s="3">
        <v>0.05</v>
      </c>
      <c r="J244" s="2">
        <v>471459.76</v>
      </c>
      <c r="K244" s="2">
        <v>447886.77</v>
      </c>
    </row>
    <row r="245" spans="1:11" x14ac:dyDescent="0.3">
      <c r="A245" t="s">
        <v>373</v>
      </c>
      <c r="B245" s="1">
        <v>46014</v>
      </c>
      <c r="C245" t="s">
        <v>17</v>
      </c>
      <c r="D245" t="s">
        <v>13</v>
      </c>
      <c r="E245" t="s">
        <v>50</v>
      </c>
      <c r="F245" t="s">
        <v>315</v>
      </c>
      <c r="G245">
        <v>7</v>
      </c>
      <c r="H245" s="2">
        <v>8778.68</v>
      </c>
      <c r="I245" s="3">
        <v>0.05</v>
      </c>
      <c r="J245" s="2">
        <v>61450.75</v>
      </c>
      <c r="K245" s="2">
        <v>58378.21</v>
      </c>
    </row>
    <row r="246" spans="1:11" x14ac:dyDescent="0.3">
      <c r="A246" t="s">
        <v>374</v>
      </c>
      <c r="B246" s="1">
        <v>46014</v>
      </c>
      <c r="C246" t="s">
        <v>17</v>
      </c>
      <c r="D246" t="s">
        <v>13</v>
      </c>
      <c r="E246" t="s">
        <v>110</v>
      </c>
      <c r="F246" t="s">
        <v>362</v>
      </c>
      <c r="G246">
        <v>4</v>
      </c>
      <c r="H246" s="2">
        <v>2281.41</v>
      </c>
      <c r="I246" s="3">
        <v>0.15</v>
      </c>
      <c r="J246" s="2">
        <v>9125.6299999999992</v>
      </c>
      <c r="K246" s="2">
        <v>7756.78</v>
      </c>
    </row>
    <row r="247" spans="1:11" x14ac:dyDescent="0.3">
      <c r="A247" t="s">
        <v>375</v>
      </c>
      <c r="B247" s="1">
        <v>46014</v>
      </c>
      <c r="C247" t="s">
        <v>25</v>
      </c>
      <c r="D247" t="s">
        <v>35</v>
      </c>
      <c r="E247" t="s">
        <v>131</v>
      </c>
      <c r="F247" t="s">
        <v>23</v>
      </c>
      <c r="G247">
        <v>7</v>
      </c>
      <c r="H247" s="2">
        <v>3239.52</v>
      </c>
      <c r="I247" s="3">
        <v>0.1</v>
      </c>
      <c r="J247" s="2">
        <v>22676.67</v>
      </c>
      <c r="K247" s="2">
        <v>20409</v>
      </c>
    </row>
    <row r="248" spans="1:11" x14ac:dyDescent="0.3">
      <c r="A248" t="s">
        <v>376</v>
      </c>
      <c r="B248" s="1">
        <v>46016</v>
      </c>
      <c r="C248" t="s">
        <v>17</v>
      </c>
      <c r="D248" t="s">
        <v>18</v>
      </c>
      <c r="E248" t="s">
        <v>19</v>
      </c>
      <c r="F248" t="s">
        <v>230</v>
      </c>
      <c r="G248">
        <v>5</v>
      </c>
      <c r="H248" s="2">
        <v>12117.65</v>
      </c>
      <c r="I248" s="3">
        <v>0.1</v>
      </c>
      <c r="J248" s="2">
        <v>60588.26</v>
      </c>
      <c r="K248" s="2">
        <v>54529.43</v>
      </c>
    </row>
    <row r="249" spans="1:11" x14ac:dyDescent="0.3">
      <c r="A249" t="s">
        <v>377</v>
      </c>
      <c r="B249" s="1">
        <v>46020</v>
      </c>
      <c r="C249" t="s">
        <v>17</v>
      </c>
      <c r="D249" t="s">
        <v>18</v>
      </c>
      <c r="E249" t="s">
        <v>32</v>
      </c>
      <c r="F249" t="s">
        <v>320</v>
      </c>
      <c r="G249">
        <v>7</v>
      </c>
      <c r="H249" s="2">
        <v>514.97</v>
      </c>
      <c r="I249" s="3">
        <v>0.1</v>
      </c>
      <c r="J249" s="2">
        <v>3604.81</v>
      </c>
      <c r="K249" s="2">
        <v>3244.33</v>
      </c>
    </row>
    <row r="250" spans="1:11" x14ac:dyDescent="0.3">
      <c r="A250" t="s">
        <v>378</v>
      </c>
      <c r="B250" s="1">
        <v>46021</v>
      </c>
      <c r="C250" t="s">
        <v>17</v>
      </c>
      <c r="D250" t="s">
        <v>13</v>
      </c>
      <c r="E250" t="s">
        <v>70</v>
      </c>
      <c r="F250" t="s">
        <v>99</v>
      </c>
      <c r="G250">
        <v>2</v>
      </c>
      <c r="H250" s="2">
        <v>5868.24</v>
      </c>
      <c r="I250" s="3">
        <v>0.05</v>
      </c>
      <c r="J250" s="2">
        <v>11736.48</v>
      </c>
      <c r="K250" s="2">
        <v>11149.66</v>
      </c>
    </row>
    <row r="251" spans="1:11" x14ac:dyDescent="0.3">
      <c r="A251" t="s">
        <v>379</v>
      </c>
      <c r="B251" s="1">
        <v>46022</v>
      </c>
      <c r="C251" t="s">
        <v>25</v>
      </c>
      <c r="D251" t="s">
        <v>18</v>
      </c>
      <c r="E251" t="s">
        <v>82</v>
      </c>
      <c r="F251" t="s">
        <v>380</v>
      </c>
      <c r="G251">
        <v>4</v>
      </c>
      <c r="H251" s="2">
        <v>8321.7199999999993</v>
      </c>
      <c r="I251" s="3">
        <v>0.05</v>
      </c>
      <c r="J251" s="2">
        <v>33286.89</v>
      </c>
      <c r="K251" s="2">
        <v>31622.55</v>
      </c>
    </row>
  </sheetData>
  <pageMargins left="0.75" right="0.75" top="1" bottom="1" header="0.5" footer="0.5"/>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9EAD54-2540-4E55-8E82-942A4BDF1710}">
  <dimension ref="B1:H35"/>
  <sheetViews>
    <sheetView showGridLines="0" tabSelected="1" zoomScale="77" workbookViewId="0">
      <selection activeCell="I20" sqref="I20"/>
    </sheetView>
  </sheetViews>
  <sheetFormatPr defaultRowHeight="14.4" x14ac:dyDescent="0.3"/>
  <cols>
    <col min="2" max="2" width="30.33203125" customWidth="1"/>
    <col min="4" max="4" width="33.33203125" customWidth="1"/>
    <col min="6" max="6" width="14.88671875" customWidth="1"/>
    <col min="8" max="8" width="16" customWidth="1"/>
  </cols>
  <sheetData>
    <row r="1" spans="2:8" ht="23.4" x14ac:dyDescent="0.45">
      <c r="D1" s="11"/>
      <c r="E1" s="12" t="s">
        <v>400</v>
      </c>
      <c r="F1" s="11"/>
    </row>
    <row r="2" spans="2:8" x14ac:dyDescent="0.3">
      <c r="B2" s="5" t="s">
        <v>381</v>
      </c>
      <c r="D2" s="5" t="s">
        <v>382</v>
      </c>
      <c r="F2" s="5" t="s">
        <v>383</v>
      </c>
      <c r="H2" s="5" t="s">
        <v>384</v>
      </c>
    </row>
    <row r="3" spans="2:8" ht="25.8" x14ac:dyDescent="0.5">
      <c r="B3" s="8">
        <f>SUM(SalesData[Sales])</f>
        <v>10405928.850000001</v>
      </c>
      <c r="D3" s="8">
        <f>SUM(SalesData[Revenue])</f>
        <v>9871034.3699999992</v>
      </c>
      <c r="F3" s="7">
        <f>COUNTA(SalesData[Order_ID])</f>
        <v>250</v>
      </c>
      <c r="H3" s="7">
        <f>SUM(SalesData[Quantity])</f>
        <v>1041</v>
      </c>
    </row>
    <row r="35" spans="2:2" x14ac:dyDescent="0.3">
      <c r="B35" s="6" t="s">
        <v>399</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Sheet2</vt:lpstr>
      <vt:lpstr>Sheet3</vt:lpstr>
      <vt:lpstr>Sheet4</vt:lpstr>
      <vt:lpstr>Sheet5</vt:lpstr>
      <vt:lpstr>Sales_Data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Meghana DM</cp:lastModifiedBy>
  <dcterms:created xsi:type="dcterms:W3CDTF">2026-09-14T13:43:14Z</dcterms:created>
  <dcterms:modified xsi:type="dcterms:W3CDTF">2026-09-14T15:00:24Z</dcterms:modified>
</cp:coreProperties>
</file>